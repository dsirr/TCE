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Z:\trader tool\"/>
    </mc:Choice>
  </mc:AlternateContent>
  <bookViews>
    <workbookView xWindow="0" yWindow="0" windowWidth="28800" windowHeight="13905" activeTab="1"/>
  </bookViews>
  <sheets>
    <sheet name="INSTRUCTIONS" sheetId="66" r:id="rId1"/>
    <sheet name="GBP" sheetId="63" r:id="rId2"/>
  </sheets>
  <functionGroups builtInGroupCount="18">
    <functionGroup name="Bloomberg"/>
  </functionGroups>
  <calcPr calcId="152511"/>
</workbook>
</file>

<file path=xl/calcChain.xml><?xml version="1.0" encoding="utf-8"?>
<calcChain xmlns="http://schemas.openxmlformats.org/spreadsheetml/2006/main">
  <c r="U32" i="63" l="1"/>
  <c r="V32" i="63"/>
  <c r="W32" i="63"/>
  <c r="X32" i="63"/>
  <c r="Y32" i="63"/>
  <c r="Z32" i="63"/>
  <c r="AA32" i="63"/>
  <c r="AB32" i="63"/>
  <c r="AC32" i="63"/>
  <c r="AD32" i="63"/>
  <c r="AE32" i="63"/>
  <c r="AF32" i="63"/>
  <c r="AG32" i="63"/>
  <c r="AH32" i="63"/>
  <c r="AI32" i="63"/>
  <c r="AJ32" i="63"/>
  <c r="AK32" i="63"/>
  <c r="AL32" i="63"/>
  <c r="P118" i="63"/>
  <c r="P114" i="63"/>
  <c r="P110" i="63"/>
  <c r="P106" i="63"/>
  <c r="P102" i="63"/>
  <c r="P98" i="63"/>
  <c r="P94" i="63"/>
  <c r="P90" i="63"/>
  <c r="P86" i="63"/>
  <c r="P82" i="63"/>
  <c r="P78" i="63"/>
  <c r="P74" i="63"/>
  <c r="P70" i="63"/>
  <c r="P66" i="63"/>
  <c r="P62" i="63"/>
  <c r="AL274" i="63"/>
  <c r="AK274" i="63"/>
  <c r="AJ274" i="63"/>
  <c r="AI274" i="63"/>
  <c r="AH274" i="63"/>
  <c r="AG274" i="63"/>
  <c r="AF274" i="63"/>
  <c r="AE274" i="63"/>
  <c r="AD274" i="63"/>
  <c r="AC274" i="63"/>
  <c r="AB274" i="63"/>
  <c r="AA274" i="63"/>
  <c r="Z274" i="63"/>
  <c r="Y274" i="63"/>
  <c r="X274" i="63"/>
  <c r="W274" i="63"/>
  <c r="V274" i="63"/>
  <c r="U274" i="63"/>
  <c r="T274" i="63"/>
  <c r="S274" i="63"/>
  <c r="R274" i="63"/>
  <c r="Q274" i="63"/>
  <c r="AL270" i="63"/>
  <c r="AK270" i="63"/>
  <c r="AJ270" i="63"/>
  <c r="AI270" i="63"/>
  <c r="AH270" i="63"/>
  <c r="AG270" i="63"/>
  <c r="AF270" i="63"/>
  <c r="AE270" i="63"/>
  <c r="AD270" i="63"/>
  <c r="AC270" i="63"/>
  <c r="AB270" i="63"/>
  <c r="AA270" i="63"/>
  <c r="Z270" i="63"/>
  <c r="Y270" i="63"/>
  <c r="X270" i="63"/>
  <c r="W270" i="63"/>
  <c r="V270" i="63"/>
  <c r="U270" i="63"/>
  <c r="T270" i="63"/>
  <c r="S270" i="63"/>
  <c r="R270" i="63"/>
  <c r="Q270" i="63"/>
  <c r="AL266" i="63"/>
  <c r="AK266" i="63"/>
  <c r="AJ266" i="63"/>
  <c r="AI266" i="63"/>
  <c r="AH266" i="63"/>
  <c r="AG266" i="63"/>
  <c r="AF266" i="63"/>
  <c r="AE266" i="63"/>
  <c r="AD266" i="63"/>
  <c r="AC266" i="63"/>
  <c r="AB266" i="63"/>
  <c r="AA266" i="63"/>
  <c r="Z266" i="63"/>
  <c r="Y266" i="63"/>
  <c r="X266" i="63"/>
  <c r="W266" i="63"/>
  <c r="V266" i="63"/>
  <c r="U266" i="63"/>
  <c r="T266" i="63"/>
  <c r="S266" i="63"/>
  <c r="R266" i="63"/>
  <c r="Q266" i="63"/>
  <c r="AL262" i="63"/>
  <c r="AK262" i="63"/>
  <c r="AJ262" i="63"/>
  <c r="AI262" i="63"/>
  <c r="AH262" i="63"/>
  <c r="AG262" i="63"/>
  <c r="AF262" i="63"/>
  <c r="AE262" i="63"/>
  <c r="AD262" i="63"/>
  <c r="AC262" i="63"/>
  <c r="AB262" i="63"/>
  <c r="AA262" i="63"/>
  <c r="Z262" i="63"/>
  <c r="Y262" i="63"/>
  <c r="X262" i="63"/>
  <c r="W262" i="63"/>
  <c r="V262" i="63"/>
  <c r="U262" i="63"/>
  <c r="T262" i="63"/>
  <c r="S262" i="63"/>
  <c r="R262" i="63"/>
  <c r="Q262" i="63"/>
  <c r="AL258" i="63"/>
  <c r="AK258" i="63"/>
  <c r="AJ258" i="63"/>
  <c r="AI258" i="63"/>
  <c r="AH258" i="63"/>
  <c r="AG258" i="63"/>
  <c r="AF258" i="63"/>
  <c r="AE258" i="63"/>
  <c r="AD258" i="63"/>
  <c r="AC258" i="63"/>
  <c r="AB258" i="63"/>
  <c r="AA258" i="63"/>
  <c r="Z258" i="63"/>
  <c r="Y258" i="63"/>
  <c r="X258" i="63"/>
  <c r="W258" i="63"/>
  <c r="V258" i="63"/>
  <c r="U258" i="63"/>
  <c r="T258" i="63"/>
  <c r="S258" i="63"/>
  <c r="R258" i="63"/>
  <c r="Q258" i="63"/>
  <c r="AL254" i="63"/>
  <c r="AK254" i="63"/>
  <c r="AJ254" i="63"/>
  <c r="AI254" i="63"/>
  <c r="AH254" i="63"/>
  <c r="AG254" i="63"/>
  <c r="AF254" i="63"/>
  <c r="AE254" i="63"/>
  <c r="AD254" i="63"/>
  <c r="AC254" i="63"/>
  <c r="AB254" i="63"/>
  <c r="AA254" i="63"/>
  <c r="Z254" i="63"/>
  <c r="Y254" i="63"/>
  <c r="X254" i="63"/>
  <c r="W254" i="63"/>
  <c r="V254" i="63"/>
  <c r="U254" i="63"/>
  <c r="T254" i="63"/>
  <c r="S254" i="63"/>
  <c r="R254" i="63"/>
  <c r="Q254" i="63"/>
  <c r="AL250" i="63"/>
  <c r="AK250" i="63"/>
  <c r="AJ250" i="63"/>
  <c r="AI250" i="63"/>
  <c r="AH250" i="63"/>
  <c r="AG250" i="63"/>
  <c r="AF250" i="63"/>
  <c r="AE250" i="63"/>
  <c r="AD250" i="63"/>
  <c r="AC250" i="63"/>
  <c r="AB250" i="63"/>
  <c r="AA250" i="63"/>
  <c r="Z250" i="63"/>
  <c r="Y250" i="63"/>
  <c r="X250" i="63"/>
  <c r="W250" i="63"/>
  <c r="V250" i="63"/>
  <c r="U250" i="63"/>
  <c r="T250" i="63"/>
  <c r="S250" i="63"/>
  <c r="R250" i="63"/>
  <c r="Q250" i="63"/>
  <c r="AL246" i="63"/>
  <c r="AK246" i="63"/>
  <c r="AJ246" i="63"/>
  <c r="AI246" i="63"/>
  <c r="AH246" i="63"/>
  <c r="AG246" i="63"/>
  <c r="AF246" i="63"/>
  <c r="AE246" i="63"/>
  <c r="AD246" i="63"/>
  <c r="AC246" i="63"/>
  <c r="AB246" i="63"/>
  <c r="AA246" i="63"/>
  <c r="Z246" i="63"/>
  <c r="Y246" i="63"/>
  <c r="X246" i="63"/>
  <c r="W246" i="63"/>
  <c r="V246" i="63"/>
  <c r="U246" i="63"/>
  <c r="T246" i="63"/>
  <c r="S246" i="63"/>
  <c r="R246" i="63"/>
  <c r="Q246" i="63"/>
  <c r="AL242" i="63"/>
  <c r="AK242" i="63"/>
  <c r="AJ242" i="63"/>
  <c r="AI242" i="63"/>
  <c r="AH242" i="63"/>
  <c r="AG242" i="63"/>
  <c r="AF242" i="63"/>
  <c r="AE242" i="63"/>
  <c r="AD242" i="63"/>
  <c r="AC242" i="63"/>
  <c r="AB242" i="63"/>
  <c r="AA242" i="63"/>
  <c r="Z242" i="63"/>
  <c r="Y242" i="63"/>
  <c r="X242" i="63"/>
  <c r="W242" i="63"/>
  <c r="V242" i="63"/>
  <c r="U242" i="63"/>
  <c r="T242" i="63"/>
  <c r="S242" i="63"/>
  <c r="R242" i="63"/>
  <c r="Q242" i="63"/>
  <c r="AL238" i="63"/>
  <c r="AK238" i="63"/>
  <c r="AJ238" i="63"/>
  <c r="AI238" i="63"/>
  <c r="AH238" i="63"/>
  <c r="AG238" i="63"/>
  <c r="AF238" i="63"/>
  <c r="AE238" i="63"/>
  <c r="AD238" i="63"/>
  <c r="AC238" i="63"/>
  <c r="AB238" i="63"/>
  <c r="AA238" i="63"/>
  <c r="Z238" i="63"/>
  <c r="Y238" i="63"/>
  <c r="X238" i="63"/>
  <c r="W238" i="63"/>
  <c r="V238" i="63"/>
  <c r="U238" i="63"/>
  <c r="T238" i="63"/>
  <c r="S238" i="63"/>
  <c r="R238" i="63"/>
  <c r="Q238" i="63"/>
  <c r="AL234" i="63"/>
  <c r="AK234" i="63"/>
  <c r="AJ234" i="63"/>
  <c r="AI234" i="63"/>
  <c r="AH234" i="63"/>
  <c r="AG234" i="63"/>
  <c r="AF234" i="63"/>
  <c r="AE234" i="63"/>
  <c r="AD234" i="63"/>
  <c r="AC234" i="63"/>
  <c r="AB234" i="63"/>
  <c r="AA234" i="63"/>
  <c r="Z234" i="63"/>
  <c r="Y234" i="63"/>
  <c r="X234" i="63"/>
  <c r="W234" i="63"/>
  <c r="V234" i="63"/>
  <c r="U234" i="63"/>
  <c r="T234" i="63"/>
  <c r="S234" i="63"/>
  <c r="R234" i="63"/>
  <c r="Q234" i="63"/>
  <c r="AL230" i="63"/>
  <c r="AK230" i="63"/>
  <c r="AJ230" i="63"/>
  <c r="AI230" i="63"/>
  <c r="AH230" i="63"/>
  <c r="AG230" i="63"/>
  <c r="AF230" i="63"/>
  <c r="AE230" i="63"/>
  <c r="AD230" i="63"/>
  <c r="AC230" i="63"/>
  <c r="AB230" i="63"/>
  <c r="AA230" i="63"/>
  <c r="Z230" i="63"/>
  <c r="Y230" i="63"/>
  <c r="X230" i="63"/>
  <c r="W230" i="63"/>
  <c r="V230" i="63"/>
  <c r="U230" i="63"/>
  <c r="T230" i="63"/>
  <c r="S230" i="63"/>
  <c r="R230" i="63"/>
  <c r="Q230" i="63"/>
  <c r="AL226" i="63"/>
  <c r="AK226" i="63"/>
  <c r="AJ226" i="63"/>
  <c r="AI226" i="63"/>
  <c r="AH226" i="63"/>
  <c r="AG226" i="63"/>
  <c r="AF226" i="63"/>
  <c r="AE226" i="63"/>
  <c r="AD226" i="63"/>
  <c r="AC226" i="63"/>
  <c r="AB226" i="63"/>
  <c r="AA226" i="63"/>
  <c r="Z226" i="63"/>
  <c r="Y226" i="63"/>
  <c r="X226" i="63"/>
  <c r="W226" i="63"/>
  <c r="V226" i="63"/>
  <c r="U226" i="63"/>
  <c r="T226" i="63"/>
  <c r="S226" i="63"/>
  <c r="R226" i="63"/>
  <c r="Q226" i="63"/>
  <c r="AL222" i="63"/>
  <c r="AK222" i="63"/>
  <c r="AJ222" i="63"/>
  <c r="AI222" i="63"/>
  <c r="AH222" i="63"/>
  <c r="AG222" i="63"/>
  <c r="AF222" i="63"/>
  <c r="AE222" i="63"/>
  <c r="AD222" i="63"/>
  <c r="AC222" i="63"/>
  <c r="AB222" i="63"/>
  <c r="AA222" i="63"/>
  <c r="Z222" i="63"/>
  <c r="Y222" i="63"/>
  <c r="X222" i="63"/>
  <c r="W222" i="63"/>
  <c r="V222" i="63"/>
  <c r="U222" i="63"/>
  <c r="T222" i="63"/>
  <c r="S222" i="63"/>
  <c r="R222" i="63"/>
  <c r="Q222" i="63"/>
  <c r="AL218" i="63"/>
  <c r="AK218" i="63"/>
  <c r="AJ218" i="63"/>
  <c r="AI218" i="63"/>
  <c r="AH218" i="63"/>
  <c r="AG218" i="63"/>
  <c r="AF218" i="63"/>
  <c r="AE218" i="63"/>
  <c r="AD218" i="63"/>
  <c r="AC218" i="63"/>
  <c r="AB218" i="63"/>
  <c r="AA218" i="63"/>
  <c r="Z218" i="63"/>
  <c r="Y218" i="63"/>
  <c r="X218" i="63"/>
  <c r="W218" i="63"/>
  <c r="V218" i="63"/>
  <c r="U218" i="63"/>
  <c r="T218" i="63"/>
  <c r="S218" i="63"/>
  <c r="R218" i="63"/>
  <c r="Q218" i="63"/>
  <c r="AL214" i="63"/>
  <c r="AK214" i="63"/>
  <c r="AJ214" i="63"/>
  <c r="AI214" i="63"/>
  <c r="AH214" i="63"/>
  <c r="AG214" i="63"/>
  <c r="AF214" i="63"/>
  <c r="AE214" i="63"/>
  <c r="AD214" i="63"/>
  <c r="AC214" i="63"/>
  <c r="AB214" i="63"/>
  <c r="AA214" i="63"/>
  <c r="Z214" i="63"/>
  <c r="Y214" i="63"/>
  <c r="X214" i="63"/>
  <c r="W214" i="63"/>
  <c r="V214" i="63"/>
  <c r="U214" i="63"/>
  <c r="T214" i="63"/>
  <c r="S214" i="63"/>
  <c r="R214" i="63"/>
  <c r="Q214" i="63"/>
  <c r="AL210" i="63"/>
  <c r="AK210" i="63"/>
  <c r="AJ210" i="63"/>
  <c r="AI210" i="63"/>
  <c r="AH210" i="63"/>
  <c r="AG210" i="63"/>
  <c r="AF210" i="63"/>
  <c r="AE210" i="63"/>
  <c r="AD210" i="63"/>
  <c r="AC210" i="63"/>
  <c r="AB210" i="63"/>
  <c r="AA210" i="63"/>
  <c r="Z210" i="63"/>
  <c r="Y210" i="63"/>
  <c r="X210" i="63"/>
  <c r="W210" i="63"/>
  <c r="V210" i="63"/>
  <c r="U210" i="63"/>
  <c r="T210" i="63"/>
  <c r="S210" i="63"/>
  <c r="R210" i="63"/>
  <c r="Q210" i="63"/>
  <c r="AL206" i="63"/>
  <c r="AK206" i="63"/>
  <c r="AJ206" i="63"/>
  <c r="AI206" i="63"/>
  <c r="AH206" i="63"/>
  <c r="AG206" i="63"/>
  <c r="AF206" i="63"/>
  <c r="AE206" i="63"/>
  <c r="AD206" i="63"/>
  <c r="AC206" i="63"/>
  <c r="AB206" i="63"/>
  <c r="AA206" i="63"/>
  <c r="Z206" i="63"/>
  <c r="Y206" i="63"/>
  <c r="X206" i="63"/>
  <c r="W206" i="63"/>
  <c r="V206" i="63"/>
  <c r="U206" i="63"/>
  <c r="T206" i="63"/>
  <c r="S206" i="63"/>
  <c r="R206" i="63"/>
  <c r="Q206" i="63"/>
  <c r="AL202" i="63"/>
  <c r="AK202" i="63"/>
  <c r="AJ202" i="63"/>
  <c r="AI202" i="63"/>
  <c r="AH202" i="63"/>
  <c r="AG202" i="63"/>
  <c r="AF202" i="63"/>
  <c r="AE202" i="63"/>
  <c r="AD202" i="63"/>
  <c r="AC202" i="63"/>
  <c r="AB202" i="63"/>
  <c r="AA202" i="63"/>
  <c r="Z202" i="63"/>
  <c r="Y202" i="63"/>
  <c r="X202" i="63"/>
  <c r="W202" i="63"/>
  <c r="V202" i="63"/>
  <c r="U202" i="63"/>
  <c r="T202" i="63"/>
  <c r="S202" i="63"/>
  <c r="R202" i="63"/>
  <c r="Q202" i="63"/>
  <c r="AL198" i="63"/>
  <c r="AK198" i="63"/>
  <c r="AJ198" i="63"/>
  <c r="AI198" i="63"/>
  <c r="AH198" i="63"/>
  <c r="AG198" i="63"/>
  <c r="AF198" i="63"/>
  <c r="AE198" i="63"/>
  <c r="AD198" i="63"/>
  <c r="AC198" i="63"/>
  <c r="AB198" i="63"/>
  <c r="AA198" i="63"/>
  <c r="Z198" i="63"/>
  <c r="Y198" i="63"/>
  <c r="X198" i="63"/>
  <c r="W198" i="63"/>
  <c r="V198" i="63"/>
  <c r="U198" i="63"/>
  <c r="T198" i="63"/>
  <c r="S198" i="63"/>
  <c r="R198" i="63"/>
  <c r="Q198" i="63"/>
  <c r="AL194" i="63"/>
  <c r="AK194" i="63"/>
  <c r="AJ194" i="63"/>
  <c r="AI194" i="63"/>
  <c r="AH194" i="63"/>
  <c r="AG194" i="63"/>
  <c r="AF194" i="63"/>
  <c r="AE194" i="63"/>
  <c r="AD194" i="63"/>
  <c r="AC194" i="63"/>
  <c r="AB194" i="63"/>
  <c r="AA194" i="63"/>
  <c r="Z194" i="63"/>
  <c r="Y194" i="63"/>
  <c r="X194" i="63"/>
  <c r="W194" i="63"/>
  <c r="V194" i="63"/>
  <c r="U194" i="63"/>
  <c r="T194" i="63"/>
  <c r="S194" i="63"/>
  <c r="R194" i="63"/>
  <c r="Q194" i="63"/>
  <c r="AL190" i="63"/>
  <c r="AK190" i="63"/>
  <c r="AJ190" i="63"/>
  <c r="AI190" i="63"/>
  <c r="AH190" i="63"/>
  <c r="AG190" i="63"/>
  <c r="AF190" i="63"/>
  <c r="AE190" i="63"/>
  <c r="AD190" i="63"/>
  <c r="AC190" i="63"/>
  <c r="AB190" i="63"/>
  <c r="AA190" i="63"/>
  <c r="Z190" i="63"/>
  <c r="Y190" i="63"/>
  <c r="X190" i="63"/>
  <c r="W190" i="63"/>
  <c r="V190" i="63"/>
  <c r="U190" i="63"/>
  <c r="T190" i="63"/>
  <c r="S190" i="63"/>
  <c r="R190" i="63"/>
  <c r="Q190" i="63"/>
  <c r="R186" i="63"/>
  <c r="S186" i="63"/>
  <c r="T186" i="63"/>
  <c r="U186" i="63"/>
  <c r="V186" i="63"/>
  <c r="W186" i="63"/>
  <c r="X186" i="63"/>
  <c r="Y186" i="63"/>
  <c r="Z186" i="63"/>
  <c r="AA186" i="63"/>
  <c r="AB186" i="63"/>
  <c r="AC186" i="63"/>
  <c r="AD186" i="63"/>
  <c r="AE186" i="63"/>
  <c r="AF186" i="63"/>
  <c r="AG186" i="63"/>
  <c r="AH186" i="63"/>
  <c r="AI186" i="63"/>
  <c r="AJ186" i="63"/>
  <c r="AK186" i="63"/>
  <c r="AL186" i="63"/>
  <c r="Q186" i="63"/>
  <c r="R173" i="63"/>
  <c r="S173" i="63"/>
  <c r="T173" i="63"/>
  <c r="U173" i="63"/>
  <c r="V173" i="63"/>
  <c r="W173" i="63"/>
  <c r="X173" i="63"/>
  <c r="Y173" i="63"/>
  <c r="Z173" i="63"/>
  <c r="AA173" i="63"/>
  <c r="AB173" i="63"/>
  <c r="AC173" i="63"/>
  <c r="AD173" i="63"/>
  <c r="AE173" i="63"/>
  <c r="AF173" i="63"/>
  <c r="AG173" i="63"/>
  <c r="AH173" i="63"/>
  <c r="AI173" i="63"/>
  <c r="AJ173" i="63"/>
  <c r="AK173" i="63"/>
  <c r="AL173" i="63"/>
  <c r="R182" i="63"/>
  <c r="S182" i="63"/>
  <c r="T182" i="63"/>
  <c r="U182" i="63"/>
  <c r="V182" i="63"/>
  <c r="W182" i="63"/>
  <c r="X182" i="63"/>
  <c r="Y182" i="63"/>
  <c r="Z182" i="63"/>
  <c r="AA182" i="63"/>
  <c r="AB182" i="63"/>
  <c r="AC182" i="63"/>
  <c r="AD182" i="63"/>
  <c r="AE182" i="63"/>
  <c r="AF182" i="63"/>
  <c r="AG182" i="63"/>
  <c r="AH182" i="63"/>
  <c r="AI182" i="63"/>
  <c r="AJ182" i="63"/>
  <c r="AK182" i="63"/>
  <c r="AL182" i="63"/>
  <c r="Q173" i="63"/>
  <c r="K275" i="63"/>
  <c r="K274" i="63"/>
  <c r="K273" i="63"/>
  <c r="P272" i="63"/>
  <c r="I272" i="63"/>
  <c r="K271" i="63"/>
  <c r="K270" i="63"/>
  <c r="K269" i="63"/>
  <c r="P268" i="63"/>
  <c r="I268" i="63"/>
  <c r="K267" i="63"/>
  <c r="K266" i="63"/>
  <c r="K265" i="63"/>
  <c r="P264" i="63"/>
  <c r="I264" i="63"/>
  <c r="K263" i="63"/>
  <c r="K262" i="63"/>
  <c r="K261" i="63"/>
  <c r="P260" i="63"/>
  <c r="I260" i="63"/>
  <c r="K259" i="63"/>
  <c r="K258" i="63"/>
  <c r="K257" i="63"/>
  <c r="P256" i="63"/>
  <c r="I256" i="63"/>
  <c r="K255" i="63"/>
  <c r="K254" i="63"/>
  <c r="K253" i="63"/>
  <c r="P252" i="63"/>
  <c r="I252" i="63"/>
  <c r="K251" i="63"/>
  <c r="K250" i="63"/>
  <c r="K249" i="63"/>
  <c r="P248" i="63"/>
  <c r="I248" i="63"/>
  <c r="K247" i="63"/>
  <c r="K246" i="63"/>
  <c r="K245" i="63"/>
  <c r="P244" i="63"/>
  <c r="I244" i="63"/>
  <c r="K243" i="63"/>
  <c r="K242" i="63"/>
  <c r="K241" i="63"/>
  <c r="P240" i="63"/>
  <c r="I240" i="63"/>
  <c r="K239" i="63"/>
  <c r="K238" i="63"/>
  <c r="K237" i="63"/>
  <c r="P236" i="63"/>
  <c r="I236" i="63"/>
  <c r="K235" i="63"/>
  <c r="K234" i="63"/>
  <c r="K233" i="63"/>
  <c r="P232" i="63"/>
  <c r="I232" i="63"/>
  <c r="K231" i="63"/>
  <c r="K230" i="63"/>
  <c r="K229" i="63"/>
  <c r="P228" i="63"/>
  <c r="I228" i="63"/>
  <c r="K227" i="63"/>
  <c r="K226" i="63"/>
  <c r="K225" i="63"/>
  <c r="P224" i="63"/>
  <c r="I224" i="63"/>
  <c r="K223" i="63"/>
  <c r="K222" i="63"/>
  <c r="K221" i="63"/>
  <c r="P220" i="63"/>
  <c r="I220" i="63"/>
  <c r="K219" i="63"/>
  <c r="K218" i="63"/>
  <c r="K217" i="63"/>
  <c r="P216" i="63"/>
  <c r="I216" i="63"/>
  <c r="K215" i="63"/>
  <c r="K214" i="63"/>
  <c r="K213" i="63"/>
  <c r="P212" i="63"/>
  <c r="I212" i="63"/>
  <c r="K211" i="63"/>
  <c r="K210" i="63"/>
  <c r="K209" i="63"/>
  <c r="P208" i="63"/>
  <c r="I208" i="63"/>
  <c r="K207" i="63"/>
  <c r="K206" i="63"/>
  <c r="K205" i="63"/>
  <c r="P204" i="63"/>
  <c r="I204" i="63"/>
  <c r="K203" i="63"/>
  <c r="K202" i="63"/>
  <c r="K201" i="63"/>
  <c r="P200" i="63"/>
  <c r="I200" i="63"/>
  <c r="K199" i="63"/>
  <c r="K198" i="63"/>
  <c r="K197" i="63"/>
  <c r="P196" i="63"/>
  <c r="I196" i="63"/>
  <c r="K195" i="63"/>
  <c r="K194" i="63"/>
  <c r="K193" i="63"/>
  <c r="P192" i="63"/>
  <c r="I192" i="63"/>
  <c r="K191" i="63"/>
  <c r="K190" i="63"/>
  <c r="K189" i="63"/>
  <c r="P188" i="63"/>
  <c r="I188" i="63"/>
  <c r="I184" i="63"/>
  <c r="C163" i="63"/>
  <c r="B163" i="63"/>
  <c r="K187" i="63"/>
  <c r="K186" i="63"/>
  <c r="K185" i="63"/>
  <c r="P184" i="63"/>
  <c r="F163" i="63"/>
  <c r="E163" i="63"/>
  <c r="E162" i="63"/>
  <c r="C162" i="63"/>
  <c r="C174" i="63" s="1"/>
  <c r="C176" i="63" s="1"/>
  <c r="B162" i="63"/>
  <c r="A161" i="63"/>
  <c r="Q182" i="63"/>
  <c r="A11" i="63"/>
  <c r="Q165" i="63"/>
  <c r="R165" i="63"/>
  <c r="V165" i="63"/>
  <c r="Z165" i="63"/>
  <c r="AD165" i="63"/>
  <c r="AH165" i="63"/>
  <c r="AL165" i="63"/>
  <c r="U166" i="63"/>
  <c r="Y166" i="63"/>
  <c r="AC166" i="63"/>
  <c r="AG166" i="63"/>
  <c r="AK166" i="63"/>
  <c r="X165" i="63"/>
  <c r="S165" i="63"/>
  <c r="W165" i="63"/>
  <c r="AA165" i="63"/>
  <c r="AE165" i="63"/>
  <c r="AI165" i="63"/>
  <c r="R166" i="63"/>
  <c r="V166" i="63"/>
  <c r="Z166" i="63"/>
  <c r="AD166" i="63"/>
  <c r="AH166" i="63"/>
  <c r="AL166" i="63"/>
  <c r="T165" i="63"/>
  <c r="AB165" i="63"/>
  <c r="AJ165" i="63"/>
  <c r="S166" i="63"/>
  <c r="W166" i="63"/>
  <c r="AA166" i="63"/>
  <c r="AE166" i="63"/>
  <c r="AI166" i="63"/>
  <c r="U165" i="63"/>
  <c r="Y165" i="63"/>
  <c r="AC165" i="63"/>
  <c r="AG165" i="63"/>
  <c r="AK165" i="63"/>
  <c r="T166" i="63"/>
  <c r="X166" i="63"/>
  <c r="AB166" i="63"/>
  <c r="AF166" i="63"/>
  <c r="AJ166" i="63"/>
  <c r="AF165" i="63"/>
  <c r="Q166" i="63"/>
  <c r="B272" i="63"/>
  <c r="A272" i="63"/>
  <c r="B268" i="63"/>
  <c r="A268" i="63"/>
  <c r="B264" i="63"/>
  <c r="A264" i="63"/>
  <c r="B260" i="63"/>
  <c r="A260" i="63"/>
  <c r="B256" i="63"/>
  <c r="A256" i="63"/>
  <c r="A252" i="63"/>
  <c r="B252" i="63"/>
  <c r="B248" i="63"/>
  <c r="A248" i="63"/>
  <c r="A244" i="63"/>
  <c r="B244" i="63"/>
  <c r="A240" i="63"/>
  <c r="B240" i="63"/>
  <c r="B236" i="63"/>
  <c r="A236" i="63"/>
  <c r="B232" i="63"/>
  <c r="A232" i="63"/>
  <c r="B228" i="63"/>
  <c r="A228" i="63"/>
  <c r="B224" i="63"/>
  <c r="A224" i="63"/>
  <c r="B220" i="63"/>
  <c r="A220" i="63"/>
  <c r="A216" i="63"/>
  <c r="B216" i="63"/>
  <c r="A212" i="63"/>
  <c r="B212" i="63"/>
  <c r="A208" i="63"/>
  <c r="B208" i="63"/>
  <c r="B204" i="63"/>
  <c r="A204" i="63"/>
  <c r="B200" i="63"/>
  <c r="A200" i="63"/>
  <c r="B196" i="63"/>
  <c r="A196" i="63"/>
  <c r="B192" i="63"/>
  <c r="A192" i="63"/>
  <c r="B188" i="63"/>
  <c r="A188" i="63"/>
  <c r="B184" i="63"/>
  <c r="A184" i="63"/>
  <c r="M152" i="63"/>
  <c r="B164" i="63"/>
  <c r="C164" i="63"/>
  <c r="M2" i="63"/>
  <c r="AF273" i="63" l="1"/>
  <c r="AF257" i="63"/>
  <c r="AF241" i="63"/>
  <c r="AF193" i="63"/>
  <c r="AF185" i="63"/>
  <c r="AF261" i="63"/>
  <c r="AF245" i="63"/>
  <c r="AF229" i="63"/>
  <c r="AF265" i="63"/>
  <c r="AF249" i="63"/>
  <c r="AF233" i="63"/>
  <c r="AF269" i="63"/>
  <c r="AF189" i="63"/>
  <c r="AF253" i="63"/>
  <c r="AF237" i="63"/>
  <c r="AK261" i="63"/>
  <c r="AK245" i="63"/>
  <c r="AK229" i="63"/>
  <c r="AK265" i="63"/>
  <c r="AK249" i="63"/>
  <c r="AK233" i="63"/>
  <c r="AK269" i="63"/>
  <c r="AK253" i="63"/>
  <c r="AK237" i="63"/>
  <c r="AK189" i="63"/>
  <c r="AK273" i="63"/>
  <c r="AK257" i="63"/>
  <c r="AK241" i="63"/>
  <c r="AK193" i="63"/>
  <c r="AK185" i="63"/>
  <c r="AG261" i="63"/>
  <c r="AG245" i="63"/>
  <c r="AG229" i="63"/>
  <c r="AG265" i="63"/>
  <c r="AG249" i="63"/>
  <c r="AG233" i="63"/>
  <c r="AG269" i="63"/>
  <c r="AG253" i="63"/>
  <c r="AG237" i="63"/>
  <c r="AG189" i="63"/>
  <c r="AG273" i="63"/>
  <c r="AG257" i="63"/>
  <c r="AG185" i="63"/>
  <c r="AG241" i="63"/>
  <c r="AG193" i="63"/>
  <c r="AC261" i="63"/>
  <c r="AC245" i="63"/>
  <c r="AC229" i="63"/>
  <c r="AC265" i="63"/>
  <c r="AC249" i="63"/>
  <c r="AC233" i="63"/>
  <c r="AC269" i="63"/>
  <c r="AC253" i="63"/>
  <c r="AC237" i="63"/>
  <c r="AC189" i="63"/>
  <c r="AC273" i="63"/>
  <c r="AC257" i="63"/>
  <c r="AC193" i="63"/>
  <c r="AC241" i="63"/>
  <c r="AC185" i="63"/>
  <c r="Y261" i="63"/>
  <c r="Y245" i="63"/>
  <c r="Y229" i="63"/>
  <c r="Y265" i="63"/>
  <c r="Y249" i="63"/>
  <c r="Y233" i="63"/>
  <c r="Y269" i="63"/>
  <c r="Y253" i="63"/>
  <c r="Y237" i="63"/>
  <c r="Y189" i="63"/>
  <c r="Y273" i="63"/>
  <c r="Y193" i="63"/>
  <c r="Y185" i="63"/>
  <c r="Y257" i="63"/>
  <c r="Y241" i="63"/>
  <c r="AJ273" i="63"/>
  <c r="AJ257" i="63"/>
  <c r="AJ241" i="63"/>
  <c r="AJ193" i="63"/>
  <c r="AJ185" i="63"/>
  <c r="AJ261" i="63"/>
  <c r="AJ245" i="63"/>
  <c r="AJ229" i="63"/>
  <c r="AJ265" i="63"/>
  <c r="AJ249" i="63"/>
  <c r="AJ233" i="63"/>
  <c r="AJ269" i="63"/>
  <c r="AJ253" i="63"/>
  <c r="AJ189" i="63"/>
  <c r="AJ237" i="63"/>
  <c r="AB273" i="63"/>
  <c r="AB257" i="63"/>
  <c r="AB241" i="63"/>
  <c r="AB193" i="63"/>
  <c r="AB185" i="63"/>
  <c r="AB261" i="63"/>
  <c r="AB245" i="63"/>
  <c r="AB229" i="63"/>
  <c r="AB265" i="63"/>
  <c r="AB249" i="63"/>
  <c r="AB233" i="63"/>
  <c r="AB269" i="63"/>
  <c r="AB237" i="63"/>
  <c r="AB253" i="63"/>
  <c r="AB189" i="63"/>
  <c r="T273" i="63"/>
  <c r="T257" i="63"/>
  <c r="T241" i="63"/>
  <c r="T193" i="63"/>
  <c r="T185" i="63"/>
  <c r="T261" i="63"/>
  <c r="T245" i="63"/>
  <c r="T229" i="63"/>
  <c r="T265" i="63"/>
  <c r="T249" i="63"/>
  <c r="T233" i="63"/>
  <c r="T269" i="63"/>
  <c r="T253" i="63"/>
  <c r="T189" i="63"/>
  <c r="T237" i="63"/>
  <c r="AI269" i="63"/>
  <c r="AI253" i="63"/>
  <c r="AI237" i="63"/>
  <c r="AI189" i="63"/>
  <c r="AI193" i="63"/>
  <c r="AI273" i="63"/>
  <c r="AI257" i="63"/>
  <c r="AI241" i="63"/>
  <c r="AI261" i="63"/>
  <c r="AI245" i="63"/>
  <c r="AI229" i="63"/>
  <c r="AI265" i="63"/>
  <c r="AI233" i="63"/>
  <c r="AI185" i="63"/>
  <c r="AI249" i="63"/>
  <c r="AE269" i="63"/>
  <c r="AE253" i="63"/>
  <c r="AE237" i="63"/>
  <c r="AE189" i="63"/>
  <c r="AE193" i="63"/>
  <c r="AE273" i="63"/>
  <c r="AE257" i="63"/>
  <c r="AE241" i="63"/>
  <c r="AE261" i="63"/>
  <c r="AE245" i="63"/>
  <c r="AE229" i="63"/>
  <c r="AE265" i="63"/>
  <c r="AE249" i="63"/>
  <c r="AE233" i="63"/>
  <c r="AE185" i="63"/>
  <c r="AA269" i="63"/>
  <c r="AA253" i="63"/>
  <c r="AA237" i="63"/>
  <c r="AA189" i="63"/>
  <c r="AA193" i="63"/>
  <c r="AA273" i="63"/>
  <c r="AA257" i="63"/>
  <c r="AA241" i="63"/>
  <c r="AA261" i="63"/>
  <c r="AA245" i="63"/>
  <c r="AA229" i="63"/>
  <c r="AA265" i="63"/>
  <c r="AA185" i="63"/>
  <c r="AA249" i="63"/>
  <c r="AA233" i="63"/>
  <c r="S269" i="63"/>
  <c r="S253" i="63"/>
  <c r="S237" i="63"/>
  <c r="S189" i="63"/>
  <c r="S193" i="63"/>
  <c r="S273" i="63"/>
  <c r="S257" i="63"/>
  <c r="S241" i="63"/>
  <c r="S261" i="63"/>
  <c r="S245" i="63"/>
  <c r="S229" i="63"/>
  <c r="S265" i="63"/>
  <c r="S233" i="63"/>
  <c r="S185" i="63"/>
  <c r="S249" i="63"/>
  <c r="AL265" i="63"/>
  <c r="AL249" i="63"/>
  <c r="AL233" i="63"/>
  <c r="AL269" i="63"/>
  <c r="AL253" i="63"/>
  <c r="AL237" i="63"/>
  <c r="AL189" i="63"/>
  <c r="AL273" i="63"/>
  <c r="AL257" i="63"/>
  <c r="AL241" i="63"/>
  <c r="AL193" i="63"/>
  <c r="AL185" i="63"/>
  <c r="AL261" i="63"/>
  <c r="AL245" i="63"/>
  <c r="AL229" i="63"/>
  <c r="AH265" i="63"/>
  <c r="AH249" i="63"/>
  <c r="AH233" i="63"/>
  <c r="AH269" i="63"/>
  <c r="AH253" i="63"/>
  <c r="AH237" i="63"/>
  <c r="AH273" i="63"/>
  <c r="AH257" i="63"/>
  <c r="AH241" i="63"/>
  <c r="AH193" i="63"/>
  <c r="AH185" i="63"/>
  <c r="AH261" i="63"/>
  <c r="AH189" i="63"/>
  <c r="AH229" i="63"/>
  <c r="AH245" i="63"/>
  <c r="AD265" i="63"/>
  <c r="AD249" i="63"/>
  <c r="AD233" i="63"/>
  <c r="AD269" i="63"/>
  <c r="AD253" i="63"/>
  <c r="AD237" i="63"/>
  <c r="AD273" i="63"/>
  <c r="AD257" i="63"/>
  <c r="AD241" i="63"/>
  <c r="AD193" i="63"/>
  <c r="AD185" i="63"/>
  <c r="AD261" i="63"/>
  <c r="AD229" i="63"/>
  <c r="AD189" i="63"/>
  <c r="AD245" i="63"/>
  <c r="Z265" i="63"/>
  <c r="Z249" i="63"/>
  <c r="Z233" i="63"/>
  <c r="Z269" i="63"/>
  <c r="Z253" i="63"/>
  <c r="Z237" i="63"/>
  <c r="Z273" i="63"/>
  <c r="Z257" i="63"/>
  <c r="Z241" i="63"/>
  <c r="Z193" i="63"/>
  <c r="Z185" i="63"/>
  <c r="Z261" i="63"/>
  <c r="Z245" i="63"/>
  <c r="Z189" i="63"/>
  <c r="Z229" i="63"/>
  <c r="R265" i="63"/>
  <c r="R249" i="63"/>
  <c r="R233" i="63"/>
  <c r="R269" i="63"/>
  <c r="R253" i="63"/>
  <c r="R237" i="63"/>
  <c r="R273" i="63"/>
  <c r="R257" i="63"/>
  <c r="R241" i="63"/>
  <c r="R193" i="63"/>
  <c r="R185" i="63"/>
  <c r="R261" i="63"/>
  <c r="R189" i="63"/>
  <c r="R245" i="63"/>
  <c r="R229" i="63"/>
  <c r="Q273" i="63"/>
  <c r="Q269" i="63"/>
  <c r="Q265" i="63"/>
  <c r="Q261" i="63"/>
  <c r="Q257" i="63"/>
  <c r="Q253" i="63"/>
  <c r="Q249" i="63"/>
  <c r="Q245" i="63"/>
  <c r="Q241" i="63"/>
  <c r="Q237" i="63"/>
  <c r="Q233" i="63"/>
  <c r="Q229" i="63"/>
  <c r="Q193" i="63"/>
  <c r="Q189" i="63"/>
  <c r="Q185" i="63"/>
  <c r="U273" i="63"/>
  <c r="U265" i="63"/>
  <c r="U257" i="63"/>
  <c r="U249" i="63"/>
  <c r="U241" i="63"/>
  <c r="U233" i="63"/>
  <c r="U193" i="63"/>
  <c r="U269" i="63"/>
  <c r="U261" i="63"/>
  <c r="U253" i="63"/>
  <c r="U245" i="63"/>
  <c r="U237" i="63"/>
  <c r="U229" i="63"/>
  <c r="U189" i="63"/>
  <c r="U185" i="63"/>
  <c r="V273" i="63"/>
  <c r="V265" i="63"/>
  <c r="V257" i="63"/>
  <c r="V249" i="63"/>
  <c r="V241" i="63"/>
  <c r="V233" i="63"/>
  <c r="V193" i="63"/>
  <c r="V185" i="63"/>
  <c r="V269" i="63"/>
  <c r="V261" i="63"/>
  <c r="V253" i="63"/>
  <c r="V245" i="63"/>
  <c r="V237" i="63"/>
  <c r="V189" i="63"/>
  <c r="V229" i="63"/>
  <c r="AJ209" i="63"/>
  <c r="AF209" i="63"/>
  <c r="AB209" i="63"/>
  <c r="V209" i="63"/>
  <c r="R209" i="63"/>
  <c r="AE209" i="63"/>
  <c r="AA209" i="63"/>
  <c r="U209" i="63"/>
  <c r="Q209" i="63"/>
  <c r="AC209" i="63"/>
  <c r="AI209" i="63"/>
  <c r="AK209" i="63"/>
  <c r="Y209" i="63"/>
  <c r="AL209" i="63"/>
  <c r="AH209" i="63"/>
  <c r="AD209" i="63"/>
  <c r="Z209" i="63"/>
  <c r="T209" i="63"/>
  <c r="AG209" i="63"/>
  <c r="S209" i="63"/>
  <c r="AL197" i="63"/>
  <c r="AH197" i="63"/>
  <c r="AD197" i="63"/>
  <c r="Z197" i="63"/>
  <c r="T197" i="63"/>
  <c r="AI197" i="63"/>
  <c r="U197" i="63"/>
  <c r="AK197" i="63"/>
  <c r="AG197" i="63"/>
  <c r="AC197" i="63"/>
  <c r="Y197" i="63"/>
  <c r="S197" i="63"/>
  <c r="AA197" i="63"/>
  <c r="Q197" i="63"/>
  <c r="AJ197" i="63"/>
  <c r="AF197" i="63"/>
  <c r="AB197" i="63"/>
  <c r="V197" i="63"/>
  <c r="R197" i="63"/>
  <c r="AE197" i="63"/>
  <c r="AJ201" i="63"/>
  <c r="AF201" i="63"/>
  <c r="AB201" i="63"/>
  <c r="V201" i="63"/>
  <c r="R201" i="63"/>
  <c r="AC201" i="63"/>
  <c r="AI201" i="63"/>
  <c r="AE201" i="63"/>
  <c r="AA201" i="63"/>
  <c r="U201" i="63"/>
  <c r="Q201" i="63"/>
  <c r="AG201" i="63"/>
  <c r="Y201" i="63"/>
  <c r="AL201" i="63"/>
  <c r="AH201" i="63"/>
  <c r="AD201" i="63"/>
  <c r="Z201" i="63"/>
  <c r="T201" i="63"/>
  <c r="AK201" i="63"/>
  <c r="S201" i="63"/>
  <c r="AL205" i="63"/>
  <c r="AH205" i="63"/>
  <c r="AD205" i="63"/>
  <c r="Z205" i="63"/>
  <c r="T205" i="63"/>
  <c r="Q205" i="63"/>
  <c r="AK205" i="63"/>
  <c r="AG205" i="63"/>
  <c r="AC205" i="63"/>
  <c r="Y205" i="63"/>
  <c r="S205" i="63"/>
  <c r="AI205" i="63"/>
  <c r="AE205" i="63"/>
  <c r="U205" i="63"/>
  <c r="AJ205" i="63"/>
  <c r="AF205" i="63"/>
  <c r="AB205" i="63"/>
  <c r="V205" i="63"/>
  <c r="R205" i="63"/>
  <c r="AA205" i="63"/>
  <c r="W273" i="63"/>
  <c r="W257" i="63"/>
  <c r="W241" i="63"/>
  <c r="W209" i="63"/>
  <c r="W193" i="63"/>
  <c r="W261" i="63"/>
  <c r="W245" i="63"/>
  <c r="W229" i="63"/>
  <c r="W197" i="63"/>
  <c r="W269" i="63"/>
  <c r="W253" i="63"/>
  <c r="W237" i="63"/>
  <c r="W205" i="63"/>
  <c r="W189" i="63"/>
  <c r="W185" i="63"/>
  <c r="W265" i="63"/>
  <c r="W249" i="63"/>
  <c r="W233" i="63"/>
  <c r="W201" i="63"/>
  <c r="X273" i="63"/>
  <c r="X269" i="63"/>
  <c r="X265" i="63"/>
  <c r="X261" i="63"/>
  <c r="X257" i="63"/>
  <c r="X253" i="63"/>
  <c r="X249" i="63"/>
  <c r="X245" i="63"/>
  <c r="X241" i="63"/>
  <c r="X237" i="63"/>
  <c r="X233" i="63"/>
  <c r="X229" i="63"/>
  <c r="AL221" i="63"/>
  <c r="AH221" i="63"/>
  <c r="AD221" i="63"/>
  <c r="Z221" i="63"/>
  <c r="U221" i="63"/>
  <c r="Q221" i="63"/>
  <c r="AJ221" i="63"/>
  <c r="W221" i="63"/>
  <c r="AK221" i="63"/>
  <c r="AG221" i="63"/>
  <c r="AC221" i="63"/>
  <c r="Y221" i="63"/>
  <c r="T221" i="63"/>
  <c r="AF221" i="63"/>
  <c r="AI221" i="63"/>
  <c r="AE221" i="63"/>
  <c r="AA221" i="63"/>
  <c r="V221" i="63"/>
  <c r="R221" i="63"/>
  <c r="AB221" i="63"/>
  <c r="S221" i="63"/>
  <c r="AJ217" i="63"/>
  <c r="AF217" i="63"/>
  <c r="AB217" i="63"/>
  <c r="T217" i="63"/>
  <c r="AE217" i="63"/>
  <c r="W217" i="63"/>
  <c r="AI217" i="63"/>
  <c r="AA217" i="63"/>
  <c r="S217" i="63"/>
  <c r="AL217" i="63"/>
  <c r="AH217" i="63"/>
  <c r="AD217" i="63"/>
  <c r="Z217" i="63"/>
  <c r="V217" i="63"/>
  <c r="R217" i="63"/>
  <c r="AK217" i="63"/>
  <c r="AG217" i="63"/>
  <c r="AC217" i="63"/>
  <c r="Y217" i="63"/>
  <c r="U217" i="63"/>
  <c r="Q217" i="63"/>
  <c r="AJ225" i="63"/>
  <c r="AF225" i="63"/>
  <c r="AB225" i="63"/>
  <c r="T225" i="63"/>
  <c r="AE225" i="63"/>
  <c r="AA225" i="63"/>
  <c r="W225" i="63"/>
  <c r="S225" i="63"/>
  <c r="AI225" i="63"/>
  <c r="AL225" i="63"/>
  <c r="AH225" i="63"/>
  <c r="AD225" i="63"/>
  <c r="Z225" i="63"/>
  <c r="V225" i="63"/>
  <c r="R225" i="63"/>
  <c r="AK225" i="63"/>
  <c r="AG225" i="63"/>
  <c r="AC225" i="63"/>
  <c r="Y225" i="63"/>
  <c r="U225" i="63"/>
  <c r="Q225" i="63"/>
  <c r="X225" i="63"/>
  <c r="X221" i="63"/>
  <c r="X217" i="63"/>
  <c r="X185" i="63"/>
  <c r="X209" i="63"/>
  <c r="X205" i="63"/>
  <c r="X201" i="63"/>
  <c r="X197" i="63"/>
  <c r="X193" i="63"/>
  <c r="X189" i="63"/>
  <c r="AJ213" i="63"/>
  <c r="AF213" i="63"/>
  <c r="AB213" i="63"/>
  <c r="X213" i="63"/>
  <c r="T213" i="63"/>
  <c r="AG213" i="63"/>
  <c r="Y213" i="63"/>
  <c r="AI213" i="63"/>
  <c r="AE213" i="63"/>
  <c r="AA213" i="63"/>
  <c r="W213" i="63"/>
  <c r="S213" i="63"/>
  <c r="AL213" i="63"/>
  <c r="AH213" i="63"/>
  <c r="AD213" i="63"/>
  <c r="Z213" i="63"/>
  <c r="V213" i="63"/>
  <c r="R213" i="63"/>
  <c r="AK213" i="63"/>
  <c r="AC213" i="63"/>
  <c r="U213" i="63"/>
  <c r="Q213" i="63"/>
  <c r="R168" i="63"/>
  <c r="V168" i="63"/>
  <c r="Z168" i="63"/>
  <c r="AD168" i="63"/>
  <c r="AH168" i="63"/>
  <c r="AL168" i="63"/>
  <c r="S168" i="63"/>
  <c r="W168" i="63"/>
  <c r="AA168" i="63"/>
  <c r="AE168" i="63"/>
  <c r="AI168" i="63"/>
  <c r="T168" i="63"/>
  <c r="X168" i="63"/>
  <c r="AB168" i="63"/>
  <c r="AF168" i="63"/>
  <c r="AJ168" i="63"/>
  <c r="U168" i="63"/>
  <c r="Y168" i="63"/>
  <c r="AC168" i="63"/>
  <c r="AG168" i="63"/>
  <c r="AK168" i="63"/>
  <c r="Q168" i="63"/>
  <c r="Q171" i="63" s="1"/>
  <c r="D268" i="63"/>
  <c r="D232" i="63"/>
  <c r="D260" i="63"/>
  <c r="D252" i="63"/>
  <c r="D244" i="63"/>
  <c r="D224" i="63"/>
  <c r="D216" i="63"/>
  <c r="G216" i="63" s="1"/>
  <c r="D272" i="63"/>
  <c r="D236" i="63"/>
  <c r="D228" i="63"/>
  <c r="D264" i="63"/>
  <c r="D256" i="63"/>
  <c r="D248" i="63"/>
  <c r="D240" i="63"/>
  <c r="D220" i="63"/>
  <c r="D212" i="63"/>
  <c r="G212" i="63" s="1"/>
  <c r="D204" i="63"/>
  <c r="D188" i="63"/>
  <c r="D208" i="63"/>
  <c r="G208" i="63" s="1"/>
  <c r="D192" i="63"/>
  <c r="D200" i="63"/>
  <c r="D196" i="63"/>
  <c r="D184" i="63"/>
  <c r="G184" i="63" s="1"/>
  <c r="B174" i="63"/>
  <c r="B12" i="63"/>
  <c r="C12" i="63"/>
  <c r="E12" i="63"/>
  <c r="B13" i="63"/>
  <c r="C13" i="63"/>
  <c r="E13" i="63"/>
  <c r="F13" i="63"/>
  <c r="R177" i="63"/>
  <c r="R178" i="63"/>
  <c r="AH177" i="63"/>
  <c r="AH178" i="63"/>
  <c r="AA178" i="63"/>
  <c r="AA177" i="63"/>
  <c r="X178" i="63"/>
  <c r="X177" i="63"/>
  <c r="U177" i="63"/>
  <c r="AK177" i="63"/>
  <c r="V177" i="63"/>
  <c r="V178" i="63"/>
  <c r="AL177" i="63"/>
  <c r="AL178" i="63"/>
  <c r="AE178" i="63"/>
  <c r="AE177" i="63"/>
  <c r="AB178" i="63"/>
  <c r="AB177" i="63"/>
  <c r="Y177" i="63"/>
  <c r="Z177" i="63"/>
  <c r="Z178" i="63"/>
  <c r="S178" i="63"/>
  <c r="S177" i="63"/>
  <c r="AI178" i="63"/>
  <c r="AI177" i="63"/>
  <c r="AF178" i="63"/>
  <c r="AF177" i="63"/>
  <c r="AC177" i="63"/>
  <c r="AD177" i="63"/>
  <c r="AD178" i="63"/>
  <c r="W178" i="63"/>
  <c r="W177" i="63"/>
  <c r="T178" i="63"/>
  <c r="T177" i="63"/>
  <c r="AJ178" i="63"/>
  <c r="AJ177" i="63"/>
  <c r="AG177" i="63"/>
  <c r="Y178" i="63"/>
  <c r="AK178" i="63"/>
  <c r="AG178" i="63"/>
  <c r="AC178" i="63"/>
  <c r="U178" i="63"/>
  <c r="Q176" i="63"/>
  <c r="M270" i="63"/>
  <c r="M246" i="63"/>
  <c r="M237" i="63"/>
  <c r="M238" i="63"/>
  <c r="M250" i="63"/>
  <c r="M234" i="63"/>
  <c r="M225" i="63"/>
  <c r="M226" i="63"/>
  <c r="M230" i="63"/>
  <c r="M242" i="63"/>
  <c r="M241" i="63"/>
  <c r="M254" i="63"/>
  <c r="M253" i="63"/>
  <c r="M258" i="63"/>
  <c r="M257" i="63"/>
  <c r="M214" i="63"/>
  <c r="M262" i="63"/>
  <c r="M261" i="63"/>
  <c r="M218" i="63"/>
  <c r="M217" i="63"/>
  <c r="M265" i="63"/>
  <c r="M266" i="63"/>
  <c r="M222" i="63"/>
  <c r="M273" i="63"/>
  <c r="M274" i="63"/>
  <c r="M269" i="63"/>
  <c r="M249" i="63"/>
  <c r="M245" i="63"/>
  <c r="M233" i="63"/>
  <c r="M229" i="63"/>
  <c r="M221" i="63"/>
  <c r="M213" i="63"/>
  <c r="M205" i="63"/>
  <c r="M206" i="63"/>
  <c r="M201" i="63"/>
  <c r="M202" i="63"/>
  <c r="M189" i="63"/>
  <c r="M190" i="63"/>
  <c r="M197" i="63"/>
  <c r="M198" i="63"/>
  <c r="M210" i="63"/>
  <c r="M209" i="63"/>
  <c r="M193" i="63"/>
  <c r="M194" i="63"/>
  <c r="L184" i="63"/>
  <c r="J184" i="63"/>
  <c r="B14" i="63"/>
  <c r="C14" i="63"/>
  <c r="AJ181" i="63" l="1"/>
  <c r="T181" i="63"/>
  <c r="W181" i="63"/>
  <c r="AD181" i="63"/>
  <c r="AF181" i="63"/>
  <c r="AI181" i="63"/>
  <c r="S181" i="63"/>
  <c r="Z181" i="63"/>
  <c r="AB181" i="63"/>
  <c r="AE181" i="63"/>
  <c r="AL181" i="63"/>
  <c r="V181" i="63"/>
  <c r="X181" i="63"/>
  <c r="AA181" i="63"/>
  <c r="AH181" i="63"/>
  <c r="R181" i="63"/>
  <c r="T171" i="63"/>
  <c r="W171" i="63"/>
  <c r="X179" i="63"/>
  <c r="S171" i="63"/>
  <c r="V171" i="63"/>
  <c r="U171" i="63"/>
  <c r="R171" i="63"/>
  <c r="AA179" i="63"/>
  <c r="R167" i="63"/>
  <c r="AB179" i="63"/>
  <c r="U167" i="63"/>
  <c r="AE179" i="63"/>
  <c r="AD167" i="63"/>
  <c r="AG167" i="63"/>
  <c r="AH167" i="63"/>
  <c r="AE167" i="63"/>
  <c r="AK167" i="63"/>
  <c r="U181" i="63"/>
  <c r="U179" i="63"/>
  <c r="AC181" i="63"/>
  <c r="AC179" i="63"/>
  <c r="AG181" i="63"/>
  <c r="AG179" i="63"/>
  <c r="AK181" i="63"/>
  <c r="AK179" i="63"/>
  <c r="Y181" i="63"/>
  <c r="Y179" i="63"/>
  <c r="AC167" i="63"/>
  <c r="W179" i="63"/>
  <c r="Z167" i="63"/>
  <c r="T179" i="63"/>
  <c r="AJ179" i="63"/>
  <c r="AA167" i="63"/>
  <c r="X167" i="63"/>
  <c r="R179" i="63"/>
  <c r="AH179" i="63"/>
  <c r="AB167" i="63"/>
  <c r="V179" i="63"/>
  <c r="AL179" i="63"/>
  <c r="S167" i="63"/>
  <c r="AI167" i="63"/>
  <c r="AF167" i="63"/>
  <c r="Z179" i="63"/>
  <c r="Y167" i="63"/>
  <c r="S179" i="63"/>
  <c r="AI179" i="63"/>
  <c r="V167" i="63"/>
  <c r="AL167" i="63"/>
  <c r="AF179" i="63"/>
  <c r="W167" i="63"/>
  <c r="T167" i="63"/>
  <c r="AJ167" i="63"/>
  <c r="AD179" i="63"/>
  <c r="Q167" i="63"/>
  <c r="O272" i="63"/>
  <c r="M272" i="63"/>
  <c r="O220" i="63"/>
  <c r="O264" i="63"/>
  <c r="O216" i="63"/>
  <c r="O260" i="63"/>
  <c r="O212" i="63"/>
  <c r="O256" i="63"/>
  <c r="O252" i="63"/>
  <c r="O240" i="63"/>
  <c r="O228" i="63"/>
  <c r="O224" i="63"/>
  <c r="O232" i="63"/>
  <c r="O248" i="63"/>
  <c r="O236" i="63"/>
  <c r="O244" i="63"/>
  <c r="O268" i="63"/>
  <c r="C272" i="63"/>
  <c r="M268" i="63"/>
  <c r="C268" i="63"/>
  <c r="M260" i="63"/>
  <c r="C264" i="63"/>
  <c r="M264" i="63"/>
  <c r="C260" i="63"/>
  <c r="C256" i="63"/>
  <c r="M256" i="63"/>
  <c r="M252" i="63"/>
  <c r="C244" i="63"/>
  <c r="C252" i="63"/>
  <c r="M248" i="63"/>
  <c r="C248" i="63"/>
  <c r="M244" i="63"/>
  <c r="C240" i="63"/>
  <c r="M240" i="63"/>
  <c r="C236" i="63"/>
  <c r="M236" i="63"/>
  <c r="M232" i="63"/>
  <c r="C232" i="63"/>
  <c r="M228" i="63"/>
  <c r="C228" i="63"/>
  <c r="C220" i="63"/>
  <c r="C224" i="63"/>
  <c r="M224" i="63"/>
  <c r="M220" i="63"/>
  <c r="M216" i="63"/>
  <c r="C216" i="63"/>
  <c r="M212" i="63"/>
  <c r="C212" i="63"/>
  <c r="C204" i="63"/>
  <c r="O192" i="63"/>
  <c r="O208" i="63"/>
  <c r="O196" i="63"/>
  <c r="O188" i="63"/>
  <c r="O200" i="63"/>
  <c r="O204" i="63"/>
  <c r="G192" i="63"/>
  <c r="G196" i="63"/>
  <c r="G188" i="63"/>
  <c r="G200" i="63"/>
  <c r="G204" i="63"/>
  <c r="M208" i="63"/>
  <c r="C208" i="63"/>
  <c r="M200" i="63"/>
  <c r="M204" i="63"/>
  <c r="C200" i="63"/>
  <c r="M196" i="63"/>
  <c r="C196" i="63"/>
  <c r="M192" i="63"/>
  <c r="C188" i="63"/>
  <c r="C192" i="63"/>
  <c r="M188" i="63"/>
  <c r="B176" i="63"/>
  <c r="C184" i="63"/>
  <c r="B24" i="63"/>
  <c r="P23" i="63"/>
  <c r="AA23" i="63" s="1"/>
  <c r="Z174" i="63"/>
  <c r="T176" i="63"/>
  <c r="AJ176" i="63"/>
  <c r="W174" i="63"/>
  <c r="U176" i="63"/>
  <c r="AK176" i="63"/>
  <c r="U174" i="63"/>
  <c r="AK174" i="63"/>
  <c r="AE176" i="63"/>
  <c r="Z176" i="63"/>
  <c r="AD174" i="63"/>
  <c r="X176" i="63"/>
  <c r="AB174" i="63"/>
  <c r="AA174" i="63"/>
  <c r="Y176" i="63"/>
  <c r="T174" i="63"/>
  <c r="Y174" i="63"/>
  <c r="S176" i="63"/>
  <c r="AI176" i="63"/>
  <c r="AD176" i="63"/>
  <c r="S174" i="63"/>
  <c r="AA176" i="63"/>
  <c r="AH176" i="63"/>
  <c r="R174" i="63"/>
  <c r="AH174" i="63"/>
  <c r="AB176" i="63"/>
  <c r="AJ174" i="63"/>
  <c r="AE174" i="63"/>
  <c r="AC176" i="63"/>
  <c r="X174" i="63"/>
  <c r="AC174" i="63"/>
  <c r="W176" i="63"/>
  <c r="V176" i="63"/>
  <c r="R176" i="63"/>
  <c r="V174" i="63"/>
  <c r="AL174" i="63"/>
  <c r="AF176" i="63"/>
  <c r="AI174" i="63"/>
  <c r="AG176" i="63"/>
  <c r="AF174" i="63"/>
  <c r="AG174" i="63"/>
  <c r="AL176" i="63"/>
  <c r="Q174" i="63"/>
  <c r="L272" i="63"/>
  <c r="J272" i="63"/>
  <c r="J268" i="63"/>
  <c r="L268" i="63"/>
  <c r="J264" i="63"/>
  <c r="L264" i="63"/>
  <c r="J260" i="63"/>
  <c r="L260" i="63"/>
  <c r="J256" i="63"/>
  <c r="L256" i="63"/>
  <c r="L252" i="63"/>
  <c r="J252" i="63"/>
  <c r="L248" i="63"/>
  <c r="J248" i="63"/>
  <c r="L244" i="63"/>
  <c r="J244" i="63"/>
  <c r="L240" i="63"/>
  <c r="J240" i="63"/>
  <c r="J236" i="63"/>
  <c r="L236" i="63"/>
  <c r="L232" i="63"/>
  <c r="J232" i="63"/>
  <c r="L228" i="63"/>
  <c r="J228" i="63"/>
  <c r="L224" i="63"/>
  <c r="J224" i="63"/>
  <c r="L220" i="63"/>
  <c r="J220" i="63"/>
  <c r="J216" i="63"/>
  <c r="L216" i="63"/>
  <c r="L212" i="63"/>
  <c r="J212" i="63"/>
  <c r="L208" i="63"/>
  <c r="J208" i="63"/>
  <c r="L204" i="63"/>
  <c r="J204" i="63"/>
  <c r="L200" i="63"/>
  <c r="J200" i="63"/>
  <c r="L196" i="63"/>
  <c r="J196" i="63"/>
  <c r="L192" i="63"/>
  <c r="J192" i="63"/>
  <c r="L188" i="63"/>
  <c r="J188" i="63"/>
  <c r="M186" i="63"/>
  <c r="M185" i="63"/>
  <c r="Q178" i="63"/>
  <c r="Q177" i="63"/>
  <c r="AA16" i="63"/>
  <c r="AA24" i="63"/>
  <c r="Q181" i="63" l="1"/>
  <c r="AG175" i="63"/>
  <c r="AF175" i="63"/>
  <c r="AI175" i="63"/>
  <c r="AL175" i="63"/>
  <c r="V175" i="63"/>
  <c r="AC175" i="63"/>
  <c r="X175" i="63"/>
  <c r="AE175" i="63"/>
  <c r="AJ175" i="63"/>
  <c r="AH175" i="63"/>
  <c r="R175" i="63"/>
  <c r="S175" i="63"/>
  <c r="Y175" i="63"/>
  <c r="T175" i="63"/>
  <c r="AA175" i="63"/>
  <c r="AB175" i="63"/>
  <c r="AD175" i="63"/>
  <c r="AK175" i="63"/>
  <c r="U175" i="63"/>
  <c r="W175" i="63"/>
  <c r="Z175" i="63"/>
  <c r="G244" i="63"/>
  <c r="X171" i="63"/>
  <c r="AB171" i="63"/>
  <c r="AF171" i="63"/>
  <c r="AJ171" i="63"/>
  <c r="AD171" i="63"/>
  <c r="Z171" i="63"/>
  <c r="AL171" i="63"/>
  <c r="AH171" i="63"/>
  <c r="AA171" i="63"/>
  <c r="AG171" i="63"/>
  <c r="AE171" i="63"/>
  <c r="AC171" i="63"/>
  <c r="AI171" i="63"/>
  <c r="Y171" i="63"/>
  <c r="AK171" i="63"/>
  <c r="Q179" i="63"/>
  <c r="G256" i="63"/>
  <c r="G224" i="63"/>
  <c r="G228" i="63"/>
  <c r="G260" i="63"/>
  <c r="G232" i="63"/>
  <c r="G268" i="63"/>
  <c r="G240" i="63"/>
  <c r="G220" i="63"/>
  <c r="G264" i="63"/>
  <c r="G252" i="63"/>
  <c r="G236" i="63"/>
  <c r="G272" i="63"/>
  <c r="G248" i="63"/>
  <c r="K272" i="63"/>
  <c r="K268" i="63"/>
  <c r="K264" i="63"/>
  <c r="K260" i="63"/>
  <c r="K256" i="63"/>
  <c r="K252" i="63"/>
  <c r="K248" i="63"/>
  <c r="K244" i="63"/>
  <c r="K240" i="63"/>
  <c r="K236" i="63"/>
  <c r="K232" i="63"/>
  <c r="K228" i="63"/>
  <c r="K224" i="63"/>
  <c r="K220" i="63"/>
  <c r="K216" i="63"/>
  <c r="K212" i="63"/>
  <c r="K208" i="63"/>
  <c r="K204" i="63"/>
  <c r="K200" i="63"/>
  <c r="K196" i="63"/>
  <c r="K192" i="63"/>
  <c r="K188" i="63"/>
  <c r="O184" i="63"/>
  <c r="M184" i="63"/>
  <c r="E173" i="63"/>
  <c r="AA18" i="63"/>
  <c r="AA27" i="63"/>
  <c r="AA28" i="63"/>
  <c r="R169" i="63" l="1"/>
  <c r="R170" i="63" s="1"/>
  <c r="R180" i="63" s="1"/>
  <c r="V169" i="63"/>
  <c r="V170" i="63" s="1"/>
  <c r="V180" i="63" s="1"/>
  <c r="Z169" i="63"/>
  <c r="Z170" i="63" s="1"/>
  <c r="Z180" i="63" s="1"/>
  <c r="AD169" i="63"/>
  <c r="AD170" i="63" s="1"/>
  <c r="AD180" i="63" s="1"/>
  <c r="AH169" i="63"/>
  <c r="AH170" i="63" s="1"/>
  <c r="AH180" i="63" s="1"/>
  <c r="AL169" i="63"/>
  <c r="AL170" i="63" s="1"/>
  <c r="AL180" i="63" s="1"/>
  <c r="AB169" i="63"/>
  <c r="AB170" i="63" s="1"/>
  <c r="AB180" i="63" s="1"/>
  <c r="S169" i="63"/>
  <c r="S170" i="63" s="1"/>
  <c r="S180" i="63" s="1"/>
  <c r="W169" i="63"/>
  <c r="W170" i="63" s="1"/>
  <c r="W180" i="63" s="1"/>
  <c r="AA169" i="63"/>
  <c r="AA170" i="63" s="1"/>
  <c r="AA180" i="63" s="1"/>
  <c r="AE169" i="63"/>
  <c r="AE170" i="63" s="1"/>
  <c r="AE180" i="63" s="1"/>
  <c r="AI169" i="63"/>
  <c r="AI170" i="63" s="1"/>
  <c r="AI180" i="63" s="1"/>
  <c r="T169" i="63"/>
  <c r="T170" i="63" s="1"/>
  <c r="T180" i="63" s="1"/>
  <c r="AF169" i="63"/>
  <c r="AF170" i="63" s="1"/>
  <c r="AF180" i="63" s="1"/>
  <c r="X169" i="63"/>
  <c r="X170" i="63" s="1"/>
  <c r="X180" i="63" s="1"/>
  <c r="AJ169" i="63"/>
  <c r="AJ170" i="63" s="1"/>
  <c r="AJ180" i="63" s="1"/>
  <c r="AC169" i="63"/>
  <c r="AC170" i="63" s="1"/>
  <c r="AC180" i="63" s="1"/>
  <c r="Y169" i="63"/>
  <c r="Y170" i="63" s="1"/>
  <c r="Y180" i="63" s="1"/>
  <c r="AK169" i="63"/>
  <c r="AK170" i="63" s="1"/>
  <c r="AK180" i="63" s="1"/>
  <c r="U169" i="63"/>
  <c r="U170" i="63" s="1"/>
  <c r="U180" i="63" s="1"/>
  <c r="AG169" i="63"/>
  <c r="AG170" i="63" s="1"/>
  <c r="AG180" i="63" s="1"/>
  <c r="E272" i="63"/>
  <c r="F272" i="63" s="1"/>
  <c r="Q169" i="63"/>
  <c r="E264" i="63"/>
  <c r="F264" i="63" s="1"/>
  <c r="E268" i="63"/>
  <c r="F268" i="63" s="1"/>
  <c r="N268" i="63" s="1"/>
  <c r="E256" i="63"/>
  <c r="F256" i="63" s="1"/>
  <c r="E260" i="63"/>
  <c r="F260" i="63" s="1"/>
  <c r="AB260" i="63" s="1"/>
  <c r="E248" i="63"/>
  <c r="F248" i="63" s="1"/>
  <c r="AI248" i="63" s="1"/>
  <c r="E252" i="63"/>
  <c r="F252" i="63" s="1"/>
  <c r="E240" i="63"/>
  <c r="F240" i="63" s="1"/>
  <c r="N240" i="63" s="1"/>
  <c r="E244" i="63"/>
  <c r="F244" i="63" s="1"/>
  <c r="E232" i="63"/>
  <c r="F232" i="63" s="1"/>
  <c r="E236" i="63"/>
  <c r="F236" i="63" s="1"/>
  <c r="N236" i="63" s="1"/>
  <c r="E224" i="63"/>
  <c r="F224" i="63" s="1"/>
  <c r="AL224" i="63" s="1"/>
  <c r="E228" i="63"/>
  <c r="F228" i="63" s="1"/>
  <c r="N228" i="63" s="1"/>
  <c r="E216" i="63"/>
  <c r="F216" i="63" s="1"/>
  <c r="AJ216" i="63" s="1"/>
  <c r="E220" i="63"/>
  <c r="F220" i="63" s="1"/>
  <c r="E212" i="63"/>
  <c r="F212" i="63" s="1"/>
  <c r="AF212" i="63" s="1"/>
  <c r="E208" i="63"/>
  <c r="F208" i="63" s="1"/>
  <c r="E200" i="63"/>
  <c r="F200" i="63" s="1"/>
  <c r="E204" i="63"/>
  <c r="F204" i="63" s="1"/>
  <c r="E192" i="63"/>
  <c r="F192" i="63" s="1"/>
  <c r="AF192" i="63" s="1"/>
  <c r="E196" i="63"/>
  <c r="F196" i="63" s="1"/>
  <c r="E184" i="63"/>
  <c r="E188" i="63"/>
  <c r="F188" i="63" s="1"/>
  <c r="K184" i="63"/>
  <c r="Q175" i="63"/>
  <c r="AA29" i="63"/>
  <c r="Z23" i="63"/>
  <c r="Z16" i="63"/>
  <c r="Y272" i="63" l="1"/>
  <c r="V272" i="63"/>
  <c r="AL272" i="63"/>
  <c r="AH272" i="63"/>
  <c r="N272" i="63"/>
  <c r="U272" i="63"/>
  <c r="AB272" i="63"/>
  <c r="Z272" i="63"/>
  <c r="AA272" i="63"/>
  <c r="X272" i="63"/>
  <c r="AC272" i="63"/>
  <c r="AD272" i="63"/>
  <c r="AE272" i="63"/>
  <c r="W272" i="63"/>
  <c r="AJ272" i="63"/>
  <c r="T272" i="63"/>
  <c r="AK272" i="63"/>
  <c r="AI272" i="63"/>
  <c r="AG272" i="63"/>
  <c r="R272" i="63"/>
  <c r="S272" i="63"/>
  <c r="AF272" i="63"/>
  <c r="Y268" i="63"/>
  <c r="R268" i="63"/>
  <c r="X268" i="63"/>
  <c r="W268" i="63"/>
  <c r="AI268" i="63"/>
  <c r="AE268" i="63"/>
  <c r="AD268" i="63"/>
  <c r="S268" i="63"/>
  <c r="R232" i="63"/>
  <c r="V268" i="63"/>
  <c r="AF268" i="63"/>
  <c r="U268" i="63"/>
  <c r="AJ268" i="63"/>
  <c r="AB268" i="63"/>
  <c r="AK268" i="63"/>
  <c r="Z268" i="63"/>
  <c r="T268" i="63"/>
  <c r="AH268" i="63"/>
  <c r="AA268" i="63"/>
  <c r="AG268" i="63"/>
  <c r="AC268" i="63"/>
  <c r="AL268" i="63"/>
  <c r="R260" i="63"/>
  <c r="AJ264" i="63"/>
  <c r="X264" i="63"/>
  <c r="AL264" i="63"/>
  <c r="U256" i="63"/>
  <c r="AI264" i="63"/>
  <c r="Y264" i="63"/>
  <c r="AK264" i="63"/>
  <c r="R264" i="63"/>
  <c r="S264" i="63"/>
  <c r="AF264" i="63"/>
  <c r="N264" i="63"/>
  <c r="V264" i="63"/>
  <c r="AG264" i="63"/>
  <c r="T264" i="63"/>
  <c r="W264" i="63"/>
  <c r="U264" i="63"/>
  <c r="AA264" i="63"/>
  <c r="Z264" i="63"/>
  <c r="AB264" i="63"/>
  <c r="AC256" i="63"/>
  <c r="AC264" i="63"/>
  <c r="AD264" i="63"/>
  <c r="AE264" i="63"/>
  <c r="AH264" i="63"/>
  <c r="AJ260" i="63"/>
  <c r="S260" i="63"/>
  <c r="N260" i="63"/>
  <c r="AD260" i="63"/>
  <c r="X260" i="63"/>
  <c r="AG260" i="63"/>
  <c r="AA260" i="63"/>
  <c r="AH256" i="63"/>
  <c r="T260" i="63"/>
  <c r="Y260" i="63"/>
  <c r="V260" i="63"/>
  <c r="AE260" i="63"/>
  <c r="W260" i="63"/>
  <c r="AF260" i="63"/>
  <c r="AK260" i="63"/>
  <c r="AL260" i="63"/>
  <c r="AC260" i="63"/>
  <c r="Z260" i="63"/>
  <c r="AI260" i="63"/>
  <c r="U260" i="63"/>
  <c r="AH260" i="63"/>
  <c r="N256" i="63"/>
  <c r="AG256" i="63"/>
  <c r="T256" i="63"/>
  <c r="Z256" i="63"/>
  <c r="AJ256" i="63"/>
  <c r="AI256" i="63"/>
  <c r="R256" i="63"/>
  <c r="W256" i="63"/>
  <c r="S256" i="63"/>
  <c r="AF256" i="63"/>
  <c r="Y256" i="63"/>
  <c r="AD256" i="63"/>
  <c r="X256" i="63"/>
  <c r="AB256" i="63"/>
  <c r="V256" i="63"/>
  <c r="AE256" i="63"/>
  <c r="AA256" i="63"/>
  <c r="AK256" i="63"/>
  <c r="AL256" i="63"/>
  <c r="N252" i="63"/>
  <c r="S252" i="63"/>
  <c r="T252" i="63"/>
  <c r="Z252" i="63"/>
  <c r="U252" i="63"/>
  <c r="X252" i="63"/>
  <c r="W252" i="63"/>
  <c r="V252" i="63"/>
  <c r="R252" i="63"/>
  <c r="AF252" i="63"/>
  <c r="AJ252" i="63"/>
  <c r="AG252" i="63"/>
  <c r="AD252" i="63"/>
  <c r="AA252" i="63"/>
  <c r="R248" i="63"/>
  <c r="AI252" i="63"/>
  <c r="AB252" i="63"/>
  <c r="AL252" i="63"/>
  <c r="AE252" i="63"/>
  <c r="S248" i="63"/>
  <c r="AH252" i="63"/>
  <c r="Y252" i="63"/>
  <c r="AK252" i="63"/>
  <c r="AC252" i="63"/>
  <c r="AF248" i="63"/>
  <c r="X248" i="63"/>
  <c r="Y248" i="63"/>
  <c r="AD248" i="63"/>
  <c r="AA248" i="63"/>
  <c r="N248" i="63"/>
  <c r="AG248" i="63"/>
  <c r="AB248" i="63"/>
  <c r="Z248" i="63"/>
  <c r="V248" i="63"/>
  <c r="W248" i="63"/>
  <c r="AJ248" i="63"/>
  <c r="AK248" i="63"/>
  <c r="AE248" i="63"/>
  <c r="AC248" i="63"/>
  <c r="AH248" i="63"/>
  <c r="T248" i="63"/>
  <c r="U248" i="63"/>
  <c r="AL248" i="63"/>
  <c r="N244" i="63"/>
  <c r="AA244" i="63"/>
  <c r="AJ244" i="63"/>
  <c r="AC244" i="63"/>
  <c r="Z244" i="63"/>
  <c r="T244" i="63"/>
  <c r="AI240" i="63"/>
  <c r="S244" i="63"/>
  <c r="AH244" i="63"/>
  <c r="AB244" i="63"/>
  <c r="AG244" i="63"/>
  <c r="AD240" i="63"/>
  <c r="Y244" i="63"/>
  <c r="R244" i="63"/>
  <c r="W244" i="63"/>
  <c r="X244" i="63"/>
  <c r="AF240" i="63"/>
  <c r="AF244" i="63"/>
  <c r="AK244" i="63"/>
  <c r="AD244" i="63"/>
  <c r="AJ236" i="63"/>
  <c r="V244" i="63"/>
  <c r="AE244" i="63"/>
  <c r="U244" i="63"/>
  <c r="AI244" i="63"/>
  <c r="AL244" i="63"/>
  <c r="AE240" i="63"/>
  <c r="AB236" i="63"/>
  <c r="S240" i="63"/>
  <c r="AH240" i="63"/>
  <c r="AJ240" i="63"/>
  <c r="AK240" i="63"/>
  <c r="Z240" i="63"/>
  <c r="V240" i="63"/>
  <c r="X240" i="63"/>
  <c r="R240" i="63"/>
  <c r="T240" i="63"/>
  <c r="U240" i="63"/>
  <c r="W240" i="63"/>
  <c r="AB240" i="63"/>
  <c r="S232" i="63"/>
  <c r="AC240" i="63"/>
  <c r="AG240" i="63"/>
  <c r="Y240" i="63"/>
  <c r="AA240" i="63"/>
  <c r="AL240" i="63"/>
  <c r="AF236" i="63"/>
  <c r="X232" i="63"/>
  <c r="AC236" i="63"/>
  <c r="T236" i="63"/>
  <c r="AG236" i="63"/>
  <c r="AI236" i="63"/>
  <c r="AE236" i="63"/>
  <c r="AA236" i="63"/>
  <c r="Y236" i="63"/>
  <c r="AJ228" i="63"/>
  <c r="V236" i="63"/>
  <c r="AH236" i="63"/>
  <c r="W236" i="63"/>
  <c r="AD236" i="63"/>
  <c r="S236" i="63"/>
  <c r="AL236" i="63"/>
  <c r="X236" i="63"/>
  <c r="R236" i="63"/>
  <c r="U236" i="63"/>
  <c r="AK236" i="63"/>
  <c r="Z236" i="63"/>
  <c r="AA228" i="63"/>
  <c r="AH232" i="63"/>
  <c r="AI232" i="63"/>
  <c r="U232" i="63"/>
  <c r="AG232" i="63"/>
  <c r="Y232" i="63"/>
  <c r="S228" i="63"/>
  <c r="AC232" i="63"/>
  <c r="Z232" i="63"/>
  <c r="AA232" i="63"/>
  <c r="N232" i="63"/>
  <c r="T232" i="63"/>
  <c r="AD232" i="63"/>
  <c r="AF232" i="63"/>
  <c r="AE232" i="63"/>
  <c r="W232" i="63"/>
  <c r="AE228" i="63"/>
  <c r="V232" i="63"/>
  <c r="AJ232" i="63"/>
  <c r="AK232" i="63"/>
  <c r="AB232" i="63"/>
  <c r="AL232" i="63"/>
  <c r="Y228" i="63"/>
  <c r="AI228" i="63"/>
  <c r="U228" i="63"/>
  <c r="AD228" i="63"/>
  <c r="Z228" i="63"/>
  <c r="V228" i="63"/>
  <c r="AF228" i="63"/>
  <c r="R228" i="63"/>
  <c r="X228" i="63"/>
  <c r="AG228" i="63"/>
  <c r="AL228" i="63"/>
  <c r="AH228" i="63"/>
  <c r="T228" i="63"/>
  <c r="AB228" i="63"/>
  <c r="AK228" i="63"/>
  <c r="AC228" i="63"/>
  <c r="W228" i="63"/>
  <c r="Y224" i="63"/>
  <c r="R224" i="63"/>
  <c r="AK220" i="63"/>
  <c r="AA224" i="63"/>
  <c r="X220" i="63"/>
  <c r="AB224" i="63"/>
  <c r="AJ224" i="63"/>
  <c r="AK224" i="63"/>
  <c r="AD224" i="63"/>
  <c r="N224" i="63"/>
  <c r="AC224" i="63"/>
  <c r="S224" i="63"/>
  <c r="Z224" i="63"/>
  <c r="X224" i="63"/>
  <c r="V224" i="63"/>
  <c r="T224" i="63"/>
  <c r="U224" i="63"/>
  <c r="AI224" i="63"/>
  <c r="AE224" i="63"/>
  <c r="AD220" i="63"/>
  <c r="W224" i="63"/>
  <c r="AH224" i="63"/>
  <c r="AF224" i="63"/>
  <c r="AG224" i="63"/>
  <c r="AF216" i="63"/>
  <c r="AL220" i="63"/>
  <c r="AG208" i="63"/>
  <c r="AE220" i="63"/>
  <c r="AA220" i="63"/>
  <c r="AL204" i="63"/>
  <c r="N220" i="63"/>
  <c r="V220" i="63"/>
  <c r="W220" i="63"/>
  <c r="AH220" i="63"/>
  <c r="AJ220" i="63"/>
  <c r="S220" i="63"/>
  <c r="U220" i="63"/>
  <c r="Z220" i="63"/>
  <c r="AG220" i="63"/>
  <c r="AB220" i="63"/>
  <c r="R220" i="63"/>
  <c r="Y220" i="63"/>
  <c r="T220" i="63"/>
  <c r="AF220" i="63"/>
  <c r="AC220" i="63"/>
  <c r="AI220" i="63"/>
  <c r="Z216" i="63"/>
  <c r="AC200" i="63"/>
  <c r="N216" i="63"/>
  <c r="U216" i="63"/>
  <c r="AA216" i="63"/>
  <c r="AD216" i="63"/>
  <c r="W216" i="63"/>
  <c r="V216" i="63"/>
  <c r="T216" i="63"/>
  <c r="S216" i="63"/>
  <c r="R216" i="63"/>
  <c r="Y216" i="63"/>
  <c r="AG216" i="63"/>
  <c r="AL216" i="63"/>
  <c r="AH216" i="63"/>
  <c r="AE212" i="63"/>
  <c r="AK216" i="63"/>
  <c r="AE216" i="63"/>
  <c r="AC216" i="63"/>
  <c r="AK212" i="63"/>
  <c r="AB216" i="63"/>
  <c r="X216" i="63"/>
  <c r="AI216" i="63"/>
  <c r="X204" i="63"/>
  <c r="AD212" i="63"/>
  <c r="AK208" i="63"/>
  <c r="AH212" i="63"/>
  <c r="AI212" i="63"/>
  <c r="N212" i="63"/>
  <c r="V212" i="63"/>
  <c r="AG212" i="63"/>
  <c r="T212" i="63"/>
  <c r="W212" i="63"/>
  <c r="R212" i="63"/>
  <c r="S212" i="63"/>
  <c r="AB212" i="63"/>
  <c r="Z212" i="63"/>
  <c r="U212" i="63"/>
  <c r="AA212" i="63"/>
  <c r="AH208" i="63"/>
  <c r="Y212" i="63"/>
  <c r="AJ212" i="63"/>
  <c r="X212" i="63"/>
  <c r="AL212" i="63"/>
  <c r="AC212" i="63"/>
  <c r="AG204" i="63"/>
  <c r="AL208" i="63"/>
  <c r="AF196" i="63"/>
  <c r="N208" i="63"/>
  <c r="V208" i="63"/>
  <c r="U208" i="63"/>
  <c r="AA208" i="63"/>
  <c r="AB208" i="63"/>
  <c r="R208" i="63"/>
  <c r="W208" i="63"/>
  <c r="T208" i="63"/>
  <c r="Y208" i="63"/>
  <c r="AJ208" i="63"/>
  <c r="S208" i="63"/>
  <c r="Z208" i="63"/>
  <c r="X208" i="63"/>
  <c r="AE208" i="63"/>
  <c r="AC208" i="63"/>
  <c r="AF208" i="63"/>
  <c r="AD208" i="63"/>
  <c r="AI208" i="63"/>
  <c r="N204" i="63"/>
  <c r="V204" i="63"/>
  <c r="T204" i="63"/>
  <c r="W204" i="63"/>
  <c r="AD204" i="63"/>
  <c r="AE204" i="63"/>
  <c r="R204" i="63"/>
  <c r="S204" i="63"/>
  <c r="AK204" i="63"/>
  <c r="U204" i="63"/>
  <c r="Z204" i="63"/>
  <c r="AF204" i="63"/>
  <c r="AK200" i="63"/>
  <c r="AH200" i="63"/>
  <c r="Y204" i="63"/>
  <c r="AJ204" i="63"/>
  <c r="AA204" i="63"/>
  <c r="AB204" i="63"/>
  <c r="AC204" i="63"/>
  <c r="AH204" i="63"/>
  <c r="AI204" i="63"/>
  <c r="AF200" i="63"/>
  <c r="AH196" i="63"/>
  <c r="N200" i="63"/>
  <c r="V200" i="63"/>
  <c r="U200" i="63"/>
  <c r="X200" i="63"/>
  <c r="W200" i="63"/>
  <c r="R200" i="63"/>
  <c r="S200" i="63"/>
  <c r="Y200" i="63"/>
  <c r="AA200" i="63"/>
  <c r="Z200" i="63"/>
  <c r="T200" i="63"/>
  <c r="AB200" i="63"/>
  <c r="AB196" i="63"/>
  <c r="AL200" i="63"/>
  <c r="AI200" i="63"/>
  <c r="AD200" i="63"/>
  <c r="AE200" i="63"/>
  <c r="AJ200" i="63"/>
  <c r="AG200" i="63"/>
  <c r="N196" i="63"/>
  <c r="V196" i="63"/>
  <c r="T196" i="63"/>
  <c r="X196" i="63"/>
  <c r="R196" i="63"/>
  <c r="W196" i="63"/>
  <c r="S196" i="63"/>
  <c r="U196" i="63"/>
  <c r="Z196" i="63"/>
  <c r="AG196" i="63"/>
  <c r="Y196" i="63"/>
  <c r="AL196" i="63"/>
  <c r="AC196" i="63"/>
  <c r="AE196" i="63"/>
  <c r="AK196" i="63"/>
  <c r="AD196" i="63"/>
  <c r="AI196" i="63"/>
  <c r="AJ196" i="63"/>
  <c r="AA196" i="63"/>
  <c r="AL192" i="63"/>
  <c r="AE192" i="63"/>
  <c r="X192" i="63"/>
  <c r="N192" i="63"/>
  <c r="V192" i="63"/>
  <c r="AH192" i="63"/>
  <c r="R192" i="63"/>
  <c r="Y192" i="63"/>
  <c r="AB192" i="63"/>
  <c r="W192" i="63"/>
  <c r="U192" i="63"/>
  <c r="S192" i="63"/>
  <c r="Z192" i="63"/>
  <c r="AG192" i="63"/>
  <c r="AJ192" i="63"/>
  <c r="T192" i="63"/>
  <c r="AD192" i="63"/>
  <c r="AA188" i="63"/>
  <c r="AA192" i="63"/>
  <c r="AC192" i="63"/>
  <c r="AI192" i="63"/>
  <c r="AK192" i="63"/>
  <c r="AE188" i="63"/>
  <c r="N188" i="63"/>
  <c r="V188" i="63"/>
  <c r="U188" i="63"/>
  <c r="AH188" i="63"/>
  <c r="W188" i="63"/>
  <c r="AD188" i="63"/>
  <c r="AC188" i="63"/>
  <c r="AI188" i="63"/>
  <c r="T188" i="63"/>
  <c r="R188" i="63"/>
  <c r="AF188" i="63"/>
  <c r="S188" i="63"/>
  <c r="AK188" i="63"/>
  <c r="Z188" i="63"/>
  <c r="AB188" i="63"/>
  <c r="AJ188" i="63"/>
  <c r="AG188" i="63"/>
  <c r="AL188" i="63"/>
  <c r="X188" i="63"/>
  <c r="Y188" i="63"/>
  <c r="Z17" i="63"/>
  <c r="E23" i="63" s="1"/>
  <c r="AA15" i="63"/>
  <c r="F184" i="63" l="1"/>
  <c r="AA19" i="63"/>
  <c r="AA20" i="63" s="1"/>
  <c r="Q170" i="63"/>
  <c r="Q272" i="63" s="1"/>
  <c r="AB23" i="63"/>
  <c r="AB16" i="63"/>
  <c r="AB24" i="63"/>
  <c r="Q264" i="63" l="1"/>
  <c r="Q268" i="63"/>
  <c r="Q256" i="63"/>
  <c r="Q260" i="63"/>
  <c r="Q248" i="63"/>
  <c r="Q252" i="63"/>
  <c r="Q240" i="63"/>
  <c r="Q244" i="63"/>
  <c r="Q232" i="63"/>
  <c r="Q236" i="63"/>
  <c r="Q224" i="63"/>
  <c r="Q228" i="63"/>
  <c r="Q216" i="63"/>
  <c r="Q220" i="63"/>
  <c r="Q208" i="63"/>
  <c r="Q212" i="63"/>
  <c r="Q200" i="63"/>
  <c r="Q204" i="63"/>
  <c r="Q192" i="63"/>
  <c r="Q196" i="63"/>
  <c r="Q180" i="63"/>
  <c r="Q188" i="63"/>
  <c r="AG184" i="63"/>
  <c r="AE184" i="63"/>
  <c r="R184" i="63"/>
  <c r="T184" i="63"/>
  <c r="Z184" i="63"/>
  <c r="V184" i="63"/>
  <c r="W184" i="63"/>
  <c r="AL184" i="63"/>
  <c r="X184" i="63"/>
  <c r="AH184" i="63"/>
  <c r="AD184" i="63"/>
  <c r="AB184" i="63"/>
  <c r="U184" i="63"/>
  <c r="AI184" i="63"/>
  <c r="AC184" i="63"/>
  <c r="Y184" i="63"/>
  <c r="S184" i="63"/>
  <c r="AA184" i="63"/>
  <c r="AK184" i="63"/>
  <c r="AF184" i="63"/>
  <c r="AJ184" i="63"/>
  <c r="N184" i="63"/>
  <c r="Q184" i="63"/>
  <c r="AA30" i="63"/>
  <c r="AB18" i="63"/>
  <c r="AB27" i="63"/>
  <c r="AB28" i="63"/>
  <c r="AB29" i="63"/>
  <c r="AB19" i="63"/>
  <c r="AB20" i="63" s="1"/>
  <c r="AB15" i="63"/>
  <c r="AB30" i="63" l="1"/>
  <c r="AC23" i="63"/>
  <c r="AC16" i="63"/>
  <c r="AC24" i="63"/>
  <c r="AC18" i="63" l="1"/>
  <c r="AC27" i="63"/>
  <c r="AC28" i="63"/>
  <c r="AC29" i="63"/>
  <c r="AC19" i="63"/>
  <c r="AC20" i="63" s="1"/>
  <c r="AC15" i="63"/>
  <c r="AC30" i="63" l="1"/>
  <c r="AD23" i="63"/>
  <c r="AD16" i="63"/>
  <c r="AD24" i="63"/>
  <c r="AD18" i="63" l="1"/>
  <c r="AD27" i="63"/>
  <c r="AD28" i="63"/>
  <c r="AD29" i="63"/>
  <c r="AD19" i="63"/>
  <c r="AD20" i="63" s="1"/>
  <c r="AD15" i="63"/>
  <c r="AD30" i="63" l="1"/>
  <c r="AE23" i="63"/>
  <c r="AE16" i="63"/>
  <c r="AE24" i="63"/>
  <c r="AE18" i="63" l="1"/>
  <c r="AE27" i="63"/>
  <c r="AE28" i="63"/>
  <c r="AE29" i="63"/>
  <c r="AE19" i="63"/>
  <c r="AE20" i="63" s="1"/>
  <c r="AE15" i="63"/>
  <c r="AE30" i="63" l="1"/>
  <c r="AF23" i="63"/>
  <c r="AF16" i="63"/>
  <c r="AF24" i="63"/>
  <c r="AF18" i="63" l="1"/>
  <c r="AF27" i="63"/>
  <c r="AF28" i="63"/>
  <c r="AF29" i="63"/>
  <c r="AF19" i="63"/>
  <c r="AF20" i="63" s="1"/>
  <c r="AF15" i="63"/>
  <c r="AF30" i="63" l="1"/>
  <c r="AG23" i="63"/>
  <c r="AG16" i="63"/>
  <c r="AG24" i="63"/>
  <c r="AG18" i="63" l="1"/>
  <c r="AG27" i="63"/>
  <c r="AG28" i="63"/>
  <c r="AG29" i="63"/>
  <c r="AG19" i="63"/>
  <c r="AG20" i="63" s="1"/>
  <c r="AG15" i="63"/>
  <c r="AG30" i="63" l="1"/>
  <c r="AH23" i="63"/>
  <c r="AH16" i="63"/>
  <c r="AH24" i="63"/>
  <c r="AH18" i="63" l="1"/>
  <c r="AH27" i="63"/>
  <c r="AH28" i="63"/>
  <c r="AH29" i="63"/>
  <c r="AH19" i="63"/>
  <c r="AH20" i="63" s="1"/>
  <c r="AH15" i="63"/>
  <c r="AH30" i="63" l="1"/>
  <c r="Q23" i="63"/>
  <c r="Q15" i="63"/>
  <c r="R23" i="63"/>
  <c r="R15" i="63"/>
  <c r="S23" i="63"/>
  <c r="S15" i="63"/>
  <c r="T23" i="63"/>
  <c r="T15" i="63"/>
  <c r="U23" i="63"/>
  <c r="U15" i="63"/>
  <c r="V23" i="63"/>
  <c r="V15" i="63"/>
  <c r="W23" i="63"/>
  <c r="W15" i="63"/>
  <c r="X23" i="63"/>
  <c r="X15" i="63"/>
  <c r="Y23" i="63"/>
  <c r="Y15" i="63"/>
  <c r="Z15" i="63"/>
  <c r="AI23" i="63" l="1"/>
  <c r="AI15" i="63"/>
  <c r="AJ23" i="63"/>
  <c r="AJ15" i="63"/>
  <c r="AK23" i="63"/>
  <c r="AK15" i="63"/>
  <c r="AL23" i="63"/>
  <c r="AL15" i="63"/>
  <c r="Q16" i="63"/>
  <c r="R16" i="63"/>
  <c r="S16" i="63"/>
  <c r="T16" i="63"/>
  <c r="U16" i="63"/>
  <c r="V16" i="63"/>
  <c r="W16" i="63"/>
  <c r="X16" i="63"/>
  <c r="Y16" i="63"/>
  <c r="AI16" i="63"/>
  <c r="AJ16" i="63"/>
  <c r="AK16" i="63"/>
  <c r="AL16" i="63"/>
  <c r="Q17" i="63"/>
  <c r="R17" i="63"/>
  <c r="S17" i="63"/>
  <c r="T17" i="63"/>
  <c r="U17" i="63"/>
  <c r="V17" i="63"/>
  <c r="W17" i="63"/>
  <c r="X17" i="63"/>
  <c r="Y17" i="63"/>
  <c r="AA17" i="63"/>
  <c r="AB17" i="63"/>
  <c r="AC17" i="63"/>
  <c r="AD17" i="63"/>
  <c r="AE17" i="63"/>
  <c r="AF17" i="63"/>
  <c r="AG17" i="63"/>
  <c r="AH17" i="63"/>
  <c r="AI17" i="63"/>
  <c r="AJ17" i="63"/>
  <c r="AK17" i="63"/>
  <c r="AL17" i="63"/>
  <c r="Q18" i="63"/>
  <c r="Q19" i="63" s="1"/>
  <c r="Q20" i="63" s="1"/>
  <c r="R18" i="63"/>
  <c r="R19" i="63" s="1"/>
  <c r="R20" i="63" s="1"/>
  <c r="S18" i="63"/>
  <c r="S19" i="63" s="1"/>
  <c r="S20" i="63" s="1"/>
  <c r="T18" i="63"/>
  <c r="T21" i="63" s="1"/>
  <c r="U18" i="63"/>
  <c r="U21" i="63" s="1"/>
  <c r="V18" i="63"/>
  <c r="V19" i="63" s="1"/>
  <c r="V20" i="63" s="1"/>
  <c r="W18" i="63"/>
  <c r="W21" i="63" s="1"/>
  <c r="X18" i="63"/>
  <c r="X21" i="63" s="1"/>
  <c r="Y18" i="63"/>
  <c r="Y19" i="63" s="1"/>
  <c r="Y20" i="63" s="1"/>
  <c r="Z18" i="63"/>
  <c r="Z19" i="63" s="1"/>
  <c r="Z20" i="63" s="1"/>
  <c r="AI18" i="63"/>
  <c r="AI19" i="63" s="1"/>
  <c r="AI20" i="63" s="1"/>
  <c r="AJ18" i="63"/>
  <c r="AJ19" i="63" s="1"/>
  <c r="AJ20" i="63" s="1"/>
  <c r="AK18" i="63"/>
  <c r="AK19" i="63" s="1"/>
  <c r="AK20" i="63" s="1"/>
  <c r="AL18" i="63"/>
  <c r="AL19" i="63" s="1"/>
  <c r="AL20" i="63" s="1"/>
  <c r="AA21" i="63"/>
  <c r="AB21" i="63"/>
  <c r="AC21" i="63"/>
  <c r="B26" i="63"/>
  <c r="P22" i="63"/>
  <c r="C24" i="63"/>
  <c r="Q32" i="63"/>
  <c r="Q24" i="63"/>
  <c r="Q21" i="63" l="1"/>
  <c r="T19" i="63"/>
  <c r="T20" i="63" s="1"/>
  <c r="AF21" i="63"/>
  <c r="U19" i="63"/>
  <c r="U20" i="63" s="1"/>
  <c r="Y21" i="63"/>
  <c r="X19" i="63"/>
  <c r="X20" i="63" s="1"/>
  <c r="W19" i="63"/>
  <c r="W20" i="63" s="1"/>
  <c r="S21" i="63"/>
  <c r="AI21" i="63"/>
  <c r="AD21" i="63"/>
  <c r="AH21" i="63"/>
  <c r="AG21" i="63"/>
  <c r="AL21" i="63"/>
  <c r="AE21" i="63"/>
  <c r="AK21" i="63"/>
  <c r="AJ21" i="63"/>
  <c r="Z21" i="63"/>
  <c r="V21" i="63"/>
  <c r="R21" i="63"/>
  <c r="Q25" i="63"/>
  <c r="R32" i="63"/>
  <c r="R24" i="63"/>
  <c r="R25" i="63" l="1"/>
  <c r="S32" i="63"/>
  <c r="S24" i="63"/>
  <c r="S25" i="63" l="1"/>
  <c r="T32" i="63"/>
  <c r="T24" i="63"/>
  <c r="T25" i="63" l="1"/>
  <c r="U24" i="63"/>
  <c r="U25" i="63" l="1"/>
  <c r="V24" i="63"/>
  <c r="V25" i="63" l="1"/>
  <c r="W24" i="63"/>
  <c r="W25" i="63" l="1"/>
  <c r="X24" i="63"/>
  <c r="X25" i="63" l="1"/>
  <c r="Y24" i="63"/>
  <c r="Y25" i="63" l="1"/>
  <c r="Z24" i="63"/>
  <c r="Z25" i="63" l="1"/>
  <c r="AA25" i="63"/>
  <c r="AB25" i="63"/>
  <c r="AC25" i="63"/>
  <c r="AD25" i="63"/>
  <c r="AE25" i="63"/>
  <c r="AF25" i="63"/>
  <c r="AG25" i="63"/>
  <c r="AH25" i="63"/>
  <c r="AI24" i="63"/>
  <c r="AI25" i="63" l="1"/>
  <c r="AJ24" i="63"/>
  <c r="AJ25" i="63" l="1"/>
  <c r="AK24" i="63"/>
  <c r="AK25" i="63" l="1"/>
  <c r="AL24" i="63"/>
  <c r="AL25" i="63" l="1"/>
  <c r="O24" i="63" s="1"/>
  <c r="C26" i="63"/>
  <c r="Q26" i="63"/>
  <c r="R26" i="63"/>
  <c r="S26" i="63"/>
  <c r="T26" i="63"/>
  <c r="U26" i="63"/>
  <c r="V26" i="63"/>
  <c r="W26" i="63"/>
  <c r="X26" i="63"/>
  <c r="Y26" i="63"/>
  <c r="Z26" i="63"/>
  <c r="AA26" i="63"/>
  <c r="AB26" i="63"/>
  <c r="AC26" i="63"/>
  <c r="AD26" i="63"/>
  <c r="AE26" i="63"/>
  <c r="AF26" i="63"/>
  <c r="AG26" i="63"/>
  <c r="AH26" i="63"/>
  <c r="AI26" i="63"/>
  <c r="AJ26" i="63"/>
  <c r="AK26" i="63"/>
  <c r="AL26" i="63"/>
  <c r="Q27" i="63"/>
  <c r="R27" i="63"/>
  <c r="S27" i="63"/>
  <c r="T27" i="63"/>
  <c r="U27" i="63"/>
  <c r="V27" i="63"/>
  <c r="W27" i="63"/>
  <c r="X27" i="63"/>
  <c r="Y27" i="63"/>
  <c r="Z27" i="63"/>
  <c r="AI27" i="63"/>
  <c r="AJ27" i="63"/>
  <c r="AK27" i="63"/>
  <c r="AL27" i="63"/>
  <c r="Q28" i="63"/>
  <c r="R28" i="63"/>
  <c r="S28" i="63"/>
  <c r="T28" i="63"/>
  <c r="U28" i="63"/>
  <c r="V28" i="63"/>
  <c r="W28" i="63"/>
  <c r="X28" i="63"/>
  <c r="Y28" i="63"/>
  <c r="Z28" i="63"/>
  <c r="AI28" i="63"/>
  <c r="AJ28" i="63"/>
  <c r="AK28" i="63"/>
  <c r="AL28" i="63"/>
  <c r="H29" i="63"/>
  <c r="I29" i="63"/>
  <c r="Q29" i="63"/>
  <c r="R29" i="63"/>
  <c r="S29" i="63"/>
  <c r="T29" i="63"/>
  <c r="U29" i="63"/>
  <c r="V29" i="63"/>
  <c r="W29" i="63"/>
  <c r="X29" i="63"/>
  <c r="Y29" i="63"/>
  <c r="Z29" i="63"/>
  <c r="AI29" i="63"/>
  <c r="AJ29" i="63"/>
  <c r="AK29" i="63"/>
  <c r="AL29" i="63"/>
  <c r="I34" i="63"/>
  <c r="B34" i="63"/>
  <c r="J34" i="63"/>
  <c r="P34" i="63" l="1"/>
  <c r="K34" i="63"/>
  <c r="K35" i="63"/>
  <c r="K36" i="63"/>
  <c r="K37" i="63"/>
  <c r="I38" i="63"/>
  <c r="B38" i="63"/>
  <c r="J38" i="63"/>
  <c r="P38" i="63"/>
  <c r="K38" i="63" s="1"/>
  <c r="K39" i="63"/>
  <c r="K40" i="63"/>
  <c r="K41" i="63"/>
  <c r="I42" i="63"/>
  <c r="B42" i="63"/>
  <c r="J42" i="63"/>
  <c r="P42" i="63"/>
  <c r="K42" i="63" s="1"/>
  <c r="K43" i="63"/>
  <c r="K44" i="63"/>
  <c r="K45" i="63"/>
  <c r="I46" i="63"/>
  <c r="B46" i="63"/>
  <c r="J46" i="63"/>
  <c r="P46" i="63"/>
  <c r="K46" i="63"/>
  <c r="K47" i="63"/>
  <c r="K48" i="63"/>
  <c r="K49" i="63"/>
  <c r="I50" i="63"/>
  <c r="B50" i="63"/>
  <c r="J50" i="63"/>
  <c r="P50" i="63"/>
  <c r="K50" i="63" s="1"/>
  <c r="K51" i="63"/>
  <c r="K52" i="63"/>
  <c r="K53" i="63"/>
  <c r="I54" i="63"/>
  <c r="B54" i="63"/>
  <c r="J54" i="63"/>
  <c r="P54" i="63"/>
  <c r="K54" i="63" s="1"/>
  <c r="K55" i="63"/>
  <c r="K56" i="63"/>
  <c r="K57" i="63"/>
  <c r="I58" i="63"/>
  <c r="B58" i="63"/>
  <c r="J58" i="63"/>
  <c r="P58" i="63"/>
  <c r="K58" i="63" s="1"/>
  <c r="K59" i="63"/>
  <c r="K60" i="63"/>
  <c r="K61" i="63"/>
  <c r="I62" i="63"/>
  <c r="B62" i="63"/>
  <c r="J62" i="63"/>
  <c r="K62" i="63"/>
  <c r="K63" i="63"/>
  <c r="K64" i="63"/>
  <c r="K65" i="63"/>
  <c r="I66" i="63"/>
  <c r="B66" i="63"/>
  <c r="J66" i="63"/>
  <c r="K66" i="63"/>
  <c r="K67" i="63"/>
  <c r="K68" i="63"/>
  <c r="K69" i="63"/>
  <c r="I70" i="63"/>
  <c r="B70" i="63"/>
  <c r="J70" i="63"/>
  <c r="K70" i="63"/>
  <c r="K71" i="63"/>
  <c r="K72" i="63"/>
  <c r="K73" i="63"/>
  <c r="I74" i="63"/>
  <c r="B74" i="63"/>
  <c r="J74" i="63"/>
  <c r="K74" i="63"/>
  <c r="K75" i="63"/>
  <c r="K76" i="63"/>
  <c r="K77" i="63"/>
  <c r="I78" i="63"/>
  <c r="B78" i="63"/>
  <c r="J78" i="63"/>
  <c r="K78" i="63"/>
  <c r="K79" i="63"/>
  <c r="K80" i="63"/>
  <c r="K81" i="63"/>
  <c r="I82" i="63"/>
  <c r="B82" i="63"/>
  <c r="J82" i="63"/>
  <c r="K82" i="63"/>
  <c r="K83" i="63"/>
  <c r="K84" i="63"/>
  <c r="K85" i="63"/>
  <c r="I86" i="63"/>
  <c r="B86" i="63"/>
  <c r="J86" i="63"/>
  <c r="K86" i="63"/>
  <c r="K87" i="63"/>
  <c r="K88" i="63"/>
  <c r="K89" i="63"/>
  <c r="I90" i="63"/>
  <c r="B90" i="63"/>
  <c r="J90" i="63"/>
  <c r="K90" i="63"/>
  <c r="K91" i="63"/>
  <c r="K92" i="63"/>
  <c r="K93" i="63"/>
  <c r="I94" i="63"/>
  <c r="B94" i="63"/>
  <c r="J94" i="63"/>
  <c r="K94" i="63"/>
  <c r="K95" i="63"/>
  <c r="K96" i="63"/>
  <c r="K97" i="63"/>
  <c r="I98" i="63"/>
  <c r="B98" i="63"/>
  <c r="J98" i="63"/>
  <c r="K98" i="63"/>
  <c r="K99" i="63"/>
  <c r="K100" i="63"/>
  <c r="K101" i="63"/>
  <c r="I102" i="63"/>
  <c r="B102" i="63"/>
  <c r="J102" i="63"/>
  <c r="K102" i="63"/>
  <c r="K103" i="63"/>
  <c r="K104" i="63"/>
  <c r="K105" i="63"/>
  <c r="I106" i="63"/>
  <c r="B106" i="63"/>
  <c r="J106" i="63"/>
  <c r="K106" i="63"/>
  <c r="K107" i="63"/>
  <c r="K108" i="63"/>
  <c r="K109" i="63"/>
  <c r="I110" i="63"/>
  <c r="B110" i="63"/>
  <c r="J110" i="63"/>
  <c r="K110" i="63"/>
  <c r="K111" i="63"/>
  <c r="K112" i="63"/>
  <c r="K113" i="63"/>
  <c r="I114" i="63"/>
  <c r="B114" i="63"/>
  <c r="J114" i="63"/>
  <c r="K114" i="63"/>
  <c r="K115" i="63"/>
  <c r="K116" i="63"/>
  <c r="K117" i="63"/>
  <c r="I118" i="63"/>
  <c r="B118" i="63"/>
  <c r="J118" i="63"/>
  <c r="K118" i="63"/>
  <c r="K119" i="63"/>
  <c r="K120" i="63"/>
  <c r="K121" i="63"/>
  <c r="I122" i="63"/>
  <c r="B122" i="63"/>
  <c r="J122" i="63"/>
  <c r="P122" i="63"/>
  <c r="K122" i="63"/>
  <c r="K123" i="63"/>
  <c r="K124" i="63"/>
  <c r="Q30" i="63"/>
  <c r="R30" i="63"/>
  <c r="S30" i="63"/>
  <c r="T30" i="63"/>
  <c r="U30" i="63"/>
  <c r="V30" i="63"/>
  <c r="W30" i="63"/>
  <c r="X30" i="63"/>
  <c r="Y30" i="63"/>
  <c r="Z30" i="63"/>
  <c r="AI30" i="63"/>
  <c r="AJ30" i="63"/>
  <c r="AK30" i="63"/>
  <c r="AL30" i="63"/>
  <c r="Q31" i="63"/>
  <c r="R31" i="63"/>
  <c r="S31" i="63"/>
  <c r="T31" i="63"/>
  <c r="U31" i="63"/>
  <c r="V31" i="63"/>
  <c r="W31" i="63"/>
  <c r="X31" i="63"/>
  <c r="Y31" i="63"/>
  <c r="Z31" i="63"/>
  <c r="AA31" i="63"/>
  <c r="AB31" i="63"/>
  <c r="AC31" i="63"/>
  <c r="AD31" i="63"/>
  <c r="AE31" i="63"/>
  <c r="AF31" i="63"/>
  <c r="AG31" i="63"/>
  <c r="AH31" i="63"/>
  <c r="AI31" i="63"/>
  <c r="AJ31" i="63"/>
  <c r="AK31" i="63"/>
  <c r="AL31" i="63"/>
  <c r="A34" i="63"/>
  <c r="J30" i="63" l="1"/>
  <c r="C34" i="63"/>
  <c r="D34" i="63"/>
  <c r="E34" i="63" s="1"/>
  <c r="F34" i="63" s="1"/>
  <c r="L34" i="63"/>
  <c r="M35" i="63"/>
  <c r="M36" i="63"/>
  <c r="G34" i="63" l="1"/>
  <c r="M34" i="63"/>
  <c r="N34" i="63" s="1"/>
  <c r="O34" i="63"/>
  <c r="Q35" i="63"/>
  <c r="R35" i="63"/>
  <c r="S35" i="63"/>
  <c r="T35" i="63"/>
  <c r="U35" i="63"/>
  <c r="V35" i="63"/>
  <c r="W35" i="63"/>
  <c r="X35" i="63"/>
  <c r="Y35" i="63"/>
  <c r="Z35" i="63"/>
  <c r="AA35" i="63"/>
  <c r="AB35" i="63"/>
  <c r="AC35" i="63"/>
  <c r="AD35" i="63"/>
  <c r="AE35" i="63"/>
  <c r="AF35" i="63"/>
  <c r="AG35" i="63"/>
  <c r="AH35" i="63"/>
  <c r="AI35" i="63"/>
  <c r="AJ35" i="63"/>
  <c r="AK35" i="63"/>
  <c r="AL35" i="63"/>
  <c r="Q36" i="63"/>
  <c r="R36" i="63"/>
  <c r="S36" i="63"/>
  <c r="T36" i="63"/>
  <c r="U36" i="63"/>
  <c r="V36" i="63"/>
  <c r="W36" i="63"/>
  <c r="X36" i="63"/>
  <c r="Y36" i="63"/>
  <c r="Z36" i="63"/>
  <c r="AA36" i="63"/>
  <c r="AB36" i="63"/>
  <c r="AC36" i="63"/>
  <c r="AD36" i="63"/>
  <c r="AE36" i="63"/>
  <c r="AF36" i="63"/>
  <c r="AG36" i="63"/>
  <c r="AH36" i="63"/>
  <c r="AI36" i="63"/>
  <c r="AJ36" i="63"/>
  <c r="AK36" i="63"/>
  <c r="AL36" i="63"/>
  <c r="A38" i="63"/>
  <c r="AK34" i="63" l="1"/>
  <c r="AE34" i="63"/>
  <c r="Z34" i="63"/>
  <c r="U34" i="63"/>
  <c r="AI34" i="63"/>
  <c r="AD34" i="63"/>
  <c r="Y34" i="63"/>
  <c r="S34" i="63"/>
  <c r="AH34" i="63"/>
  <c r="AC34" i="63"/>
  <c r="W34" i="63"/>
  <c r="R34" i="63"/>
  <c r="AL34" i="63"/>
  <c r="AG34" i="63"/>
  <c r="AA34" i="63"/>
  <c r="V34" i="63"/>
  <c r="Q34" i="63"/>
  <c r="AJ34" i="63"/>
  <c r="AF34" i="63"/>
  <c r="AB34" i="63"/>
  <c r="X34" i="63"/>
  <c r="T34" i="63"/>
  <c r="C38" i="63"/>
  <c r="D38" i="63"/>
  <c r="G38" i="63" s="1"/>
  <c r="L38" i="63"/>
  <c r="M39" i="63"/>
  <c r="M40" i="63"/>
  <c r="E38" i="63" l="1"/>
  <c r="F38" i="63" s="1"/>
  <c r="M38" i="63"/>
  <c r="O38" i="63"/>
  <c r="Q39" i="63"/>
  <c r="R39" i="63"/>
  <c r="S39" i="63"/>
  <c r="T39" i="63"/>
  <c r="U39" i="63"/>
  <c r="V39" i="63"/>
  <c r="W39" i="63"/>
  <c r="X39" i="63"/>
  <c r="Y39" i="63"/>
  <c r="Z39" i="63"/>
  <c r="AA39" i="63"/>
  <c r="AB39" i="63"/>
  <c r="AC39" i="63"/>
  <c r="AD39" i="63"/>
  <c r="AE39" i="63"/>
  <c r="AF39" i="63"/>
  <c r="AG39" i="63"/>
  <c r="AH39" i="63"/>
  <c r="AI39" i="63"/>
  <c r="AJ39" i="63"/>
  <c r="AK39" i="63"/>
  <c r="AL39" i="63"/>
  <c r="Q40" i="63"/>
  <c r="R40" i="63"/>
  <c r="S40" i="63"/>
  <c r="T40" i="63"/>
  <c r="U40" i="63"/>
  <c r="V40" i="63"/>
  <c r="W40" i="63"/>
  <c r="X40" i="63"/>
  <c r="Y40" i="63"/>
  <c r="Z40" i="63"/>
  <c r="AA40" i="63"/>
  <c r="AB40" i="63"/>
  <c r="AC40" i="63"/>
  <c r="AD40" i="63"/>
  <c r="AE40" i="63"/>
  <c r="AF40" i="63"/>
  <c r="AG40" i="63"/>
  <c r="AH40" i="63"/>
  <c r="AI40" i="63"/>
  <c r="AJ40" i="63"/>
  <c r="AK40" i="63"/>
  <c r="AL40" i="63"/>
  <c r="A42" i="63"/>
  <c r="AK38" i="63" l="1"/>
  <c r="N38" i="63"/>
  <c r="AI38" i="63"/>
  <c r="AE38" i="63"/>
  <c r="AA38" i="63"/>
  <c r="W38" i="63"/>
  <c r="Q38" i="63"/>
  <c r="AL38" i="63"/>
  <c r="AH38" i="63"/>
  <c r="AD38" i="63"/>
  <c r="Z38" i="63"/>
  <c r="V38" i="63"/>
  <c r="AG38" i="63"/>
  <c r="AC38" i="63"/>
  <c r="Y38" i="63"/>
  <c r="U38" i="63"/>
  <c r="AJ38" i="63"/>
  <c r="AF38" i="63"/>
  <c r="AB38" i="63"/>
  <c r="X38" i="63"/>
  <c r="S38" i="63"/>
  <c r="T38" i="63"/>
  <c r="R38" i="63"/>
  <c r="C42" i="63"/>
  <c r="D42" i="63"/>
  <c r="G42" i="63" s="1"/>
  <c r="L42" i="63"/>
  <c r="M43" i="63"/>
  <c r="M44" i="63"/>
  <c r="E42" i="63" l="1"/>
  <c r="F42" i="63" s="1"/>
  <c r="M42" i="63"/>
  <c r="O42" i="63"/>
  <c r="Q43" i="63"/>
  <c r="R43" i="63"/>
  <c r="S43" i="63"/>
  <c r="T43" i="63"/>
  <c r="U43" i="63"/>
  <c r="V43" i="63"/>
  <c r="W43" i="63"/>
  <c r="X43" i="63"/>
  <c r="Y43" i="63"/>
  <c r="Z43" i="63"/>
  <c r="AA43" i="63"/>
  <c r="AB43" i="63"/>
  <c r="AC43" i="63"/>
  <c r="AD43" i="63"/>
  <c r="AE43" i="63"/>
  <c r="AF43" i="63"/>
  <c r="AG43" i="63"/>
  <c r="AH43" i="63"/>
  <c r="AI43" i="63"/>
  <c r="AJ43" i="63"/>
  <c r="AK43" i="63"/>
  <c r="AL43" i="63"/>
  <c r="Q44" i="63"/>
  <c r="R44" i="63"/>
  <c r="S44" i="63"/>
  <c r="T44" i="63"/>
  <c r="U44" i="63"/>
  <c r="V44" i="63"/>
  <c r="W44" i="63"/>
  <c r="X44" i="63"/>
  <c r="Y44" i="63"/>
  <c r="Z44" i="63"/>
  <c r="AA44" i="63"/>
  <c r="AB44" i="63"/>
  <c r="AC44" i="63"/>
  <c r="AD44" i="63"/>
  <c r="AE44" i="63"/>
  <c r="AF44" i="63"/>
  <c r="AG44" i="63"/>
  <c r="AH44" i="63"/>
  <c r="AI44" i="63"/>
  <c r="AJ44" i="63"/>
  <c r="AK44" i="63"/>
  <c r="AL44" i="63"/>
  <c r="A46" i="63"/>
  <c r="S42" i="63" l="1"/>
  <c r="AK42" i="63"/>
  <c r="T42" i="63"/>
  <c r="AJ42" i="63"/>
  <c r="AG42" i="63"/>
  <c r="AD42" i="63"/>
  <c r="AL42" i="63"/>
  <c r="AF42" i="63"/>
  <c r="AB42" i="63"/>
  <c r="AH42" i="63"/>
  <c r="AC42" i="63"/>
  <c r="Z42" i="63"/>
  <c r="AI42" i="63"/>
  <c r="AE42" i="63"/>
  <c r="AA42" i="63"/>
  <c r="W42" i="63"/>
  <c r="V42" i="63"/>
  <c r="N42" i="63"/>
  <c r="X42" i="63"/>
  <c r="Q42" i="63"/>
  <c r="R42" i="63"/>
  <c r="Y42" i="63"/>
  <c r="U42" i="63"/>
  <c r="C46" i="63"/>
  <c r="D46" i="63"/>
  <c r="E46" i="63" s="1"/>
  <c r="F46" i="63" s="1"/>
  <c r="L46" i="63"/>
  <c r="M47" i="63"/>
  <c r="M48" i="63"/>
  <c r="G46" i="63" l="1"/>
  <c r="M46" i="63"/>
  <c r="O46" i="63"/>
  <c r="Q47" i="63"/>
  <c r="R47" i="63"/>
  <c r="S47" i="63"/>
  <c r="T47" i="63"/>
  <c r="U47" i="63"/>
  <c r="V47" i="63"/>
  <c r="W47" i="63"/>
  <c r="X47" i="63"/>
  <c r="Y47" i="63"/>
  <c r="Z47" i="63"/>
  <c r="AA47" i="63"/>
  <c r="AB47" i="63"/>
  <c r="AC47" i="63"/>
  <c r="AD47" i="63"/>
  <c r="AE47" i="63"/>
  <c r="AF47" i="63"/>
  <c r="AG47" i="63"/>
  <c r="AH47" i="63"/>
  <c r="AI47" i="63"/>
  <c r="AJ47" i="63"/>
  <c r="AK47" i="63"/>
  <c r="AL47" i="63"/>
  <c r="Q48" i="63"/>
  <c r="R48" i="63"/>
  <c r="S48" i="63"/>
  <c r="T48" i="63"/>
  <c r="U48" i="63"/>
  <c r="V48" i="63"/>
  <c r="W48" i="63"/>
  <c r="X48" i="63"/>
  <c r="Y48" i="63"/>
  <c r="Z48" i="63"/>
  <c r="AA48" i="63"/>
  <c r="AB48" i="63"/>
  <c r="AC48" i="63"/>
  <c r="AD48" i="63"/>
  <c r="AE48" i="63"/>
  <c r="AF48" i="63"/>
  <c r="AG48" i="63"/>
  <c r="AH48" i="63"/>
  <c r="AI48" i="63"/>
  <c r="AJ48" i="63"/>
  <c r="AK48" i="63"/>
  <c r="AL48" i="63"/>
  <c r="A50" i="63"/>
  <c r="Q46" i="63" l="1"/>
  <c r="V46" i="63"/>
  <c r="AJ46" i="63"/>
  <c r="AI46" i="63"/>
  <c r="AE46" i="63"/>
  <c r="AA46" i="63"/>
  <c r="X46" i="63"/>
  <c r="N46" i="63"/>
  <c r="AL46" i="63"/>
  <c r="AD46" i="63"/>
  <c r="T46" i="63"/>
  <c r="AF46" i="63"/>
  <c r="Z46" i="63"/>
  <c r="S46" i="63"/>
  <c r="AH46" i="63"/>
  <c r="AB46" i="63"/>
  <c r="W46" i="63"/>
  <c r="R46" i="63"/>
  <c r="AK46" i="63"/>
  <c r="AG46" i="63"/>
  <c r="AC46" i="63"/>
  <c r="Y46" i="63"/>
  <c r="U46" i="63"/>
  <c r="C50" i="63"/>
  <c r="D50" i="63"/>
  <c r="G50" i="63" s="1"/>
  <c r="L50" i="63"/>
  <c r="M51" i="63"/>
  <c r="M52" i="63"/>
  <c r="E50" i="63" l="1"/>
  <c r="F50" i="63" s="1"/>
  <c r="M50" i="63"/>
  <c r="O50" i="63"/>
  <c r="Q51" i="63"/>
  <c r="R51" i="63"/>
  <c r="S51" i="63"/>
  <c r="T51" i="63"/>
  <c r="U51" i="63"/>
  <c r="V51" i="63"/>
  <c r="W51" i="63"/>
  <c r="X51" i="63"/>
  <c r="Y51" i="63"/>
  <c r="Z51" i="63"/>
  <c r="AA51" i="63"/>
  <c r="AB51" i="63"/>
  <c r="AC51" i="63"/>
  <c r="AD51" i="63"/>
  <c r="AE51" i="63"/>
  <c r="AF51" i="63"/>
  <c r="AG51" i="63"/>
  <c r="AH51" i="63"/>
  <c r="AI51" i="63"/>
  <c r="AJ51" i="63"/>
  <c r="AK51" i="63"/>
  <c r="AL51" i="63"/>
  <c r="Q52" i="63"/>
  <c r="R52" i="63"/>
  <c r="S52" i="63"/>
  <c r="T52" i="63"/>
  <c r="U52" i="63"/>
  <c r="V52" i="63"/>
  <c r="W52" i="63"/>
  <c r="X52" i="63"/>
  <c r="Y52" i="63"/>
  <c r="Z52" i="63"/>
  <c r="AA52" i="63"/>
  <c r="AB52" i="63"/>
  <c r="AC52" i="63"/>
  <c r="AD52" i="63"/>
  <c r="AE52" i="63"/>
  <c r="AF52" i="63"/>
  <c r="AG52" i="63"/>
  <c r="AH52" i="63"/>
  <c r="AI52" i="63"/>
  <c r="AJ52" i="63"/>
  <c r="AK52" i="63"/>
  <c r="AL52" i="63"/>
  <c r="A54" i="63"/>
  <c r="AI50" i="63" l="1"/>
  <c r="AL50" i="63"/>
  <c r="Q50" i="63"/>
  <c r="U50" i="63"/>
  <c r="AK50" i="63"/>
  <c r="AE50" i="63"/>
  <c r="Z50" i="63"/>
  <c r="AJ50" i="63"/>
  <c r="AC50" i="63"/>
  <c r="AG50" i="63"/>
  <c r="V50" i="63"/>
  <c r="AH50" i="63"/>
  <c r="AD50" i="63"/>
  <c r="W50" i="63"/>
  <c r="AF50" i="63"/>
  <c r="AA50" i="63"/>
  <c r="T50" i="63"/>
  <c r="R50" i="63"/>
  <c r="Y50" i="63"/>
  <c r="S50" i="63"/>
  <c r="N50" i="63"/>
  <c r="AB50" i="63"/>
  <c r="X50" i="63"/>
  <c r="C54" i="63"/>
  <c r="D54" i="63"/>
  <c r="G54" i="63" s="1"/>
  <c r="L54" i="63"/>
  <c r="M55" i="63"/>
  <c r="M56" i="63"/>
  <c r="E54" i="63" l="1"/>
  <c r="F54" i="63" s="1"/>
  <c r="M54" i="63"/>
  <c r="O54" i="63"/>
  <c r="Q55" i="63"/>
  <c r="R55" i="63"/>
  <c r="S55" i="63"/>
  <c r="T55" i="63"/>
  <c r="U55" i="63"/>
  <c r="V55" i="63"/>
  <c r="W55" i="63"/>
  <c r="X55" i="63"/>
  <c r="Y55" i="63"/>
  <c r="Z55" i="63"/>
  <c r="AA55" i="63"/>
  <c r="AB55" i="63"/>
  <c r="AC55" i="63"/>
  <c r="AD55" i="63"/>
  <c r="AE55" i="63"/>
  <c r="AF55" i="63"/>
  <c r="AG55" i="63"/>
  <c r="AH55" i="63"/>
  <c r="AI55" i="63"/>
  <c r="AJ55" i="63"/>
  <c r="AK55" i="63"/>
  <c r="AL55" i="63"/>
  <c r="Q56" i="63"/>
  <c r="R56" i="63"/>
  <c r="S56" i="63"/>
  <c r="T56" i="63"/>
  <c r="U56" i="63"/>
  <c r="V56" i="63"/>
  <c r="W56" i="63"/>
  <c r="X56" i="63"/>
  <c r="Y56" i="63"/>
  <c r="Z56" i="63"/>
  <c r="AA56" i="63"/>
  <c r="AB56" i="63"/>
  <c r="AC56" i="63"/>
  <c r="AD56" i="63"/>
  <c r="AE56" i="63"/>
  <c r="AF56" i="63"/>
  <c r="AG56" i="63"/>
  <c r="AH56" i="63"/>
  <c r="AI56" i="63"/>
  <c r="AJ56" i="63"/>
  <c r="AK56" i="63"/>
  <c r="AL56" i="63"/>
  <c r="A58" i="63"/>
  <c r="AA54" i="63" l="1"/>
  <c r="AL54" i="63"/>
  <c r="T54" i="63"/>
  <c r="AI54" i="63"/>
  <c r="AG54" i="63"/>
  <c r="AH54" i="63"/>
  <c r="AK54" i="63"/>
  <c r="AD54" i="63"/>
  <c r="AJ54" i="63"/>
  <c r="AE54" i="63"/>
  <c r="AC54" i="63"/>
  <c r="Q54" i="63"/>
  <c r="AF54" i="63"/>
  <c r="AB54" i="63"/>
  <c r="Y54" i="63"/>
  <c r="Z54" i="63"/>
  <c r="W54" i="63"/>
  <c r="V54" i="63"/>
  <c r="N54" i="63"/>
  <c r="X54" i="63"/>
  <c r="S54" i="63"/>
  <c r="R54" i="63"/>
  <c r="U54" i="63"/>
  <c r="C58" i="63"/>
  <c r="D58" i="63"/>
  <c r="G58" i="63" s="1"/>
  <c r="L58" i="63"/>
  <c r="M59" i="63"/>
  <c r="M60" i="63"/>
  <c r="E58" i="63" l="1"/>
  <c r="F58" i="63" s="1"/>
  <c r="M58" i="63"/>
  <c r="O58" i="63"/>
  <c r="Q59" i="63"/>
  <c r="R59" i="63"/>
  <c r="S59" i="63"/>
  <c r="T59" i="63"/>
  <c r="U59" i="63"/>
  <c r="V59" i="63"/>
  <c r="W59" i="63"/>
  <c r="X59" i="63"/>
  <c r="Y59" i="63"/>
  <c r="Z59" i="63"/>
  <c r="AA59" i="63"/>
  <c r="AB59" i="63"/>
  <c r="AC59" i="63"/>
  <c r="AD59" i="63"/>
  <c r="AE59" i="63"/>
  <c r="AF59" i="63"/>
  <c r="AG59" i="63"/>
  <c r="AH59" i="63"/>
  <c r="AI59" i="63"/>
  <c r="AJ59" i="63"/>
  <c r="AK59" i="63"/>
  <c r="AL59" i="63"/>
  <c r="A62" i="63"/>
  <c r="AG58" i="63" l="1"/>
  <c r="S58" i="63"/>
  <c r="AJ58" i="63"/>
  <c r="AE58" i="63"/>
  <c r="AI58" i="63"/>
  <c r="AK58" i="63"/>
  <c r="Y58" i="63"/>
  <c r="AL58" i="63"/>
  <c r="AC58" i="63"/>
  <c r="Q58" i="63"/>
  <c r="AF58" i="63"/>
  <c r="AA58" i="63"/>
  <c r="AH58" i="63"/>
  <c r="AD58" i="63"/>
  <c r="W58" i="63"/>
  <c r="AB58" i="63"/>
  <c r="X58" i="63"/>
  <c r="Z58" i="63"/>
  <c r="U58" i="63"/>
  <c r="T58" i="63"/>
  <c r="N58" i="63"/>
  <c r="V58" i="63"/>
  <c r="R58" i="63"/>
  <c r="C62" i="63"/>
  <c r="D62" i="63"/>
  <c r="G62" i="63" s="1"/>
  <c r="L62" i="63"/>
  <c r="M63" i="63"/>
  <c r="M64" i="63"/>
  <c r="E62" i="63" l="1"/>
  <c r="F62" i="63" s="1"/>
  <c r="M62" i="63"/>
  <c r="O62" i="63"/>
  <c r="Q63" i="63"/>
  <c r="R63" i="63"/>
  <c r="S63" i="63"/>
  <c r="T63" i="63"/>
  <c r="U63" i="63"/>
  <c r="V63" i="63"/>
  <c r="W63" i="63"/>
  <c r="X63" i="63"/>
  <c r="Y63" i="63"/>
  <c r="Z63" i="63"/>
  <c r="AA63" i="63"/>
  <c r="AB63" i="63"/>
  <c r="AC63" i="63"/>
  <c r="AD63" i="63"/>
  <c r="AE63" i="63"/>
  <c r="AF63" i="63"/>
  <c r="AG63" i="63"/>
  <c r="AH63" i="63"/>
  <c r="AI63" i="63"/>
  <c r="AJ63" i="63"/>
  <c r="AK63" i="63"/>
  <c r="AL63" i="63"/>
  <c r="Q64" i="63"/>
  <c r="R64" i="63"/>
  <c r="S64" i="63"/>
  <c r="T64" i="63"/>
  <c r="U64" i="63"/>
  <c r="V64" i="63"/>
  <c r="W64" i="63"/>
  <c r="X64" i="63"/>
  <c r="Y64" i="63"/>
  <c r="Z64" i="63"/>
  <c r="AA64" i="63"/>
  <c r="AB64" i="63"/>
  <c r="AC64" i="63"/>
  <c r="AD64" i="63"/>
  <c r="AE64" i="63"/>
  <c r="AF64" i="63"/>
  <c r="AG64" i="63"/>
  <c r="AH64" i="63"/>
  <c r="AI64" i="63"/>
  <c r="AJ64" i="63"/>
  <c r="AK64" i="63"/>
  <c r="AL64" i="63"/>
  <c r="A66" i="63"/>
  <c r="AD62" i="63" l="1"/>
  <c r="AJ62" i="63"/>
  <c r="AE62" i="63"/>
  <c r="AI62" i="63"/>
  <c r="S62" i="63"/>
  <c r="AL62" i="63"/>
  <c r="AH62" i="63"/>
  <c r="AK62" i="63"/>
  <c r="AG62" i="63"/>
  <c r="AF62" i="63"/>
  <c r="T62" i="63"/>
  <c r="AB62" i="63"/>
  <c r="AC62" i="63"/>
  <c r="AA62" i="63"/>
  <c r="Z62" i="63"/>
  <c r="X62" i="63"/>
  <c r="Y62" i="63"/>
  <c r="V62" i="63"/>
  <c r="N62" i="63"/>
  <c r="R62" i="63"/>
  <c r="W62" i="63"/>
  <c r="Q62" i="63"/>
  <c r="U62" i="63"/>
  <c r="C66" i="63"/>
  <c r="D66" i="63"/>
  <c r="G66" i="63" s="1"/>
  <c r="L66" i="63"/>
  <c r="M67" i="63"/>
  <c r="M68" i="63"/>
  <c r="E66" i="63" l="1"/>
  <c r="F66" i="63" s="1"/>
  <c r="M66" i="63"/>
  <c r="O66" i="63"/>
  <c r="Q67" i="63"/>
  <c r="R67" i="63"/>
  <c r="S67" i="63"/>
  <c r="T67" i="63"/>
  <c r="U67" i="63"/>
  <c r="V67" i="63"/>
  <c r="W67" i="63"/>
  <c r="X67" i="63"/>
  <c r="Y67" i="63"/>
  <c r="Z67" i="63"/>
  <c r="AA67" i="63"/>
  <c r="AB67" i="63"/>
  <c r="AC67" i="63"/>
  <c r="AD67" i="63"/>
  <c r="AE67" i="63"/>
  <c r="AF67" i="63"/>
  <c r="AG67" i="63"/>
  <c r="AH67" i="63"/>
  <c r="AI67" i="63"/>
  <c r="AJ67" i="63"/>
  <c r="AK67" i="63"/>
  <c r="AL67" i="63"/>
  <c r="Q68" i="63"/>
  <c r="R68" i="63"/>
  <c r="S68" i="63"/>
  <c r="T68" i="63"/>
  <c r="U68" i="63"/>
  <c r="V68" i="63"/>
  <c r="W68" i="63"/>
  <c r="X68" i="63"/>
  <c r="Y68" i="63"/>
  <c r="Z68" i="63"/>
  <c r="AA68" i="63"/>
  <c r="AB68" i="63"/>
  <c r="AC68" i="63"/>
  <c r="AD68" i="63"/>
  <c r="AE68" i="63"/>
  <c r="AF68" i="63"/>
  <c r="AG68" i="63"/>
  <c r="AH68" i="63"/>
  <c r="AI68" i="63"/>
  <c r="AJ68" i="63"/>
  <c r="AK68" i="63"/>
  <c r="AL68" i="63"/>
  <c r="A70" i="63"/>
  <c r="AK66" i="63" l="1"/>
  <c r="AJ66" i="63"/>
  <c r="AG66" i="63"/>
  <c r="AL66" i="63"/>
  <c r="Q66" i="63"/>
  <c r="T66" i="63"/>
  <c r="AH66" i="63"/>
  <c r="AA66" i="63"/>
  <c r="AE66" i="63"/>
  <c r="W66" i="63"/>
  <c r="AC66" i="63"/>
  <c r="Z66" i="63"/>
  <c r="V66" i="63"/>
  <c r="U66" i="63"/>
  <c r="AI66" i="63"/>
  <c r="AD66" i="63"/>
  <c r="Y66" i="63"/>
  <c r="R66" i="63"/>
  <c r="AF66" i="63"/>
  <c r="AB66" i="63"/>
  <c r="X66" i="63"/>
  <c r="S66" i="63"/>
  <c r="N66" i="63"/>
  <c r="C70" i="63"/>
  <c r="D70" i="63"/>
  <c r="G70" i="63" s="1"/>
  <c r="L70" i="63"/>
  <c r="M71" i="63"/>
  <c r="M72" i="63"/>
  <c r="E70" i="63" l="1"/>
  <c r="F70" i="63" s="1"/>
  <c r="M70" i="63"/>
  <c r="O70" i="63"/>
  <c r="Q71" i="63"/>
  <c r="R71" i="63"/>
  <c r="S71" i="63"/>
  <c r="T71" i="63"/>
  <c r="U71" i="63"/>
  <c r="V71" i="63"/>
  <c r="W71" i="63"/>
  <c r="X71" i="63"/>
  <c r="Y71" i="63"/>
  <c r="Z71" i="63"/>
  <c r="AA71" i="63"/>
  <c r="AB71" i="63"/>
  <c r="AC71" i="63"/>
  <c r="AD71" i="63"/>
  <c r="AE71" i="63"/>
  <c r="AF71" i="63"/>
  <c r="AG71" i="63"/>
  <c r="AH71" i="63"/>
  <c r="AI71" i="63"/>
  <c r="AJ71" i="63"/>
  <c r="AK71" i="63"/>
  <c r="AL71" i="63"/>
  <c r="Q72" i="63"/>
  <c r="R72" i="63"/>
  <c r="S72" i="63"/>
  <c r="T72" i="63"/>
  <c r="U72" i="63"/>
  <c r="V72" i="63"/>
  <c r="W72" i="63"/>
  <c r="X72" i="63"/>
  <c r="Y72" i="63"/>
  <c r="Z72" i="63"/>
  <c r="AA72" i="63"/>
  <c r="AB72" i="63"/>
  <c r="AC72" i="63"/>
  <c r="AD72" i="63"/>
  <c r="AE72" i="63"/>
  <c r="AF72" i="63"/>
  <c r="AG72" i="63"/>
  <c r="AH72" i="63"/>
  <c r="AI72" i="63"/>
  <c r="AJ72" i="63"/>
  <c r="AK72" i="63"/>
  <c r="AL72" i="63"/>
  <c r="A74" i="63"/>
  <c r="Q70" i="63" l="1"/>
  <c r="R70" i="63"/>
  <c r="AJ70" i="63"/>
  <c r="AD70" i="63"/>
  <c r="AH70" i="63"/>
  <c r="Z70" i="63"/>
  <c r="AL70" i="63"/>
  <c r="AB70" i="63"/>
  <c r="V70" i="63"/>
  <c r="AF70" i="63"/>
  <c r="X70" i="63"/>
  <c r="T70" i="63"/>
  <c r="AI70" i="63"/>
  <c r="AE70" i="63"/>
  <c r="AA70" i="63"/>
  <c r="W70" i="63"/>
  <c r="S70" i="63"/>
  <c r="N70" i="63"/>
  <c r="AK70" i="63"/>
  <c r="AG70" i="63"/>
  <c r="AC70" i="63"/>
  <c r="Y70" i="63"/>
  <c r="U70" i="63"/>
  <c r="C74" i="63"/>
  <c r="D74" i="63"/>
  <c r="G74" i="63" s="1"/>
  <c r="L74" i="63"/>
  <c r="M75" i="63"/>
  <c r="M76" i="63"/>
  <c r="E74" i="63" l="1"/>
  <c r="F74" i="63" s="1"/>
  <c r="M74" i="63"/>
  <c r="O74" i="63"/>
  <c r="Q75" i="63"/>
  <c r="R75" i="63"/>
  <c r="S75" i="63"/>
  <c r="T75" i="63"/>
  <c r="U75" i="63"/>
  <c r="V75" i="63"/>
  <c r="W75" i="63"/>
  <c r="X75" i="63"/>
  <c r="Y75" i="63"/>
  <c r="Z75" i="63"/>
  <c r="AA75" i="63"/>
  <c r="AB75" i="63"/>
  <c r="AC75" i="63"/>
  <c r="AD75" i="63"/>
  <c r="AE75" i="63"/>
  <c r="AF75" i="63"/>
  <c r="AG75" i="63"/>
  <c r="AH75" i="63"/>
  <c r="AI75" i="63"/>
  <c r="AJ75" i="63"/>
  <c r="AK75" i="63"/>
  <c r="AL75" i="63"/>
  <c r="Q76" i="63"/>
  <c r="R76" i="63"/>
  <c r="S76" i="63"/>
  <c r="T76" i="63"/>
  <c r="U76" i="63"/>
  <c r="V76" i="63"/>
  <c r="W76" i="63"/>
  <c r="X76" i="63"/>
  <c r="Y76" i="63"/>
  <c r="Z76" i="63"/>
  <c r="AA76" i="63"/>
  <c r="AB76" i="63"/>
  <c r="AC76" i="63"/>
  <c r="AD76" i="63"/>
  <c r="AE76" i="63"/>
  <c r="AF76" i="63"/>
  <c r="AG76" i="63"/>
  <c r="AH76" i="63"/>
  <c r="AI76" i="63"/>
  <c r="AJ76" i="63"/>
  <c r="AK76" i="63"/>
  <c r="AL76" i="63"/>
  <c r="A78" i="63"/>
  <c r="AI74" i="63" l="1"/>
  <c r="S74" i="63"/>
  <c r="Q74" i="63"/>
  <c r="AA74" i="63"/>
  <c r="AD74" i="63"/>
  <c r="AK74" i="63"/>
  <c r="X74" i="63"/>
  <c r="AF74" i="63"/>
  <c r="V74" i="63"/>
  <c r="AJ74" i="63"/>
  <c r="AE74" i="63"/>
  <c r="Z74" i="63"/>
  <c r="T74" i="63"/>
  <c r="N74" i="63"/>
  <c r="AL74" i="63"/>
  <c r="AH74" i="63"/>
  <c r="AB74" i="63"/>
  <c r="W74" i="63"/>
  <c r="R74" i="63"/>
  <c r="AG74" i="63"/>
  <c r="AC74" i="63"/>
  <c r="Y74" i="63"/>
  <c r="U74" i="63"/>
  <c r="C78" i="63"/>
  <c r="D78" i="63"/>
  <c r="G78" i="63" s="1"/>
  <c r="L78" i="63"/>
  <c r="M79" i="63"/>
  <c r="M80" i="63"/>
  <c r="E78" i="63" l="1"/>
  <c r="F78" i="63" s="1"/>
  <c r="M78" i="63"/>
  <c r="O78" i="63"/>
  <c r="Q79" i="63"/>
  <c r="R79" i="63"/>
  <c r="S79" i="63"/>
  <c r="T79" i="63"/>
  <c r="U79" i="63"/>
  <c r="V79" i="63"/>
  <c r="W79" i="63"/>
  <c r="X79" i="63"/>
  <c r="Y79" i="63"/>
  <c r="Z79" i="63"/>
  <c r="AA79" i="63"/>
  <c r="AB79" i="63"/>
  <c r="AC79" i="63"/>
  <c r="AD79" i="63"/>
  <c r="AE79" i="63"/>
  <c r="AF79" i="63"/>
  <c r="AG79" i="63"/>
  <c r="AH79" i="63"/>
  <c r="AI79" i="63"/>
  <c r="AJ79" i="63"/>
  <c r="AK79" i="63"/>
  <c r="AL79" i="63"/>
  <c r="Q80" i="63"/>
  <c r="R80" i="63"/>
  <c r="S80" i="63"/>
  <c r="T80" i="63"/>
  <c r="U80" i="63"/>
  <c r="V80" i="63"/>
  <c r="W80" i="63"/>
  <c r="X80" i="63"/>
  <c r="Y80" i="63"/>
  <c r="Z80" i="63"/>
  <c r="AA80" i="63"/>
  <c r="AB80" i="63"/>
  <c r="AC80" i="63"/>
  <c r="AD80" i="63"/>
  <c r="AE80" i="63"/>
  <c r="AF80" i="63"/>
  <c r="AG80" i="63"/>
  <c r="AH80" i="63"/>
  <c r="AI80" i="63"/>
  <c r="AJ80" i="63"/>
  <c r="AK80" i="63"/>
  <c r="AL80" i="63"/>
  <c r="A82" i="63"/>
  <c r="AB78" i="63" l="1"/>
  <c r="AJ78" i="63"/>
  <c r="R78" i="63"/>
  <c r="AI78" i="63"/>
  <c r="AD78" i="63"/>
  <c r="AL78" i="63"/>
  <c r="AF78" i="63"/>
  <c r="AA78" i="63"/>
  <c r="AE78" i="63"/>
  <c r="AH78" i="63"/>
  <c r="AC78" i="63"/>
  <c r="AK78" i="63"/>
  <c r="AG78" i="63"/>
  <c r="N78" i="63"/>
  <c r="Y78" i="63"/>
  <c r="W78" i="63"/>
  <c r="U78" i="63"/>
  <c r="Z78" i="63"/>
  <c r="V78" i="63"/>
  <c r="X78" i="63"/>
  <c r="T78" i="63"/>
  <c r="S78" i="63"/>
  <c r="Q78" i="63"/>
  <c r="C82" i="63"/>
  <c r="D82" i="63"/>
  <c r="G82" i="63" s="1"/>
  <c r="L82" i="63"/>
  <c r="M83" i="63"/>
  <c r="M84" i="63"/>
  <c r="E82" i="63" l="1"/>
  <c r="F82" i="63" s="1"/>
  <c r="M82" i="63"/>
  <c r="O82" i="63"/>
  <c r="Q83" i="63"/>
  <c r="R83" i="63"/>
  <c r="S83" i="63"/>
  <c r="T83" i="63"/>
  <c r="U83" i="63"/>
  <c r="V83" i="63"/>
  <c r="W83" i="63"/>
  <c r="X83" i="63"/>
  <c r="Y83" i="63"/>
  <c r="Z83" i="63"/>
  <c r="AA83" i="63"/>
  <c r="AB83" i="63"/>
  <c r="AC83" i="63"/>
  <c r="AD83" i="63"/>
  <c r="AE83" i="63"/>
  <c r="AF83" i="63"/>
  <c r="AG83" i="63"/>
  <c r="AH83" i="63"/>
  <c r="AI83" i="63"/>
  <c r="AJ83" i="63"/>
  <c r="AK83" i="63"/>
  <c r="AL83" i="63"/>
  <c r="Q84" i="63"/>
  <c r="R84" i="63"/>
  <c r="S84" i="63"/>
  <c r="T84" i="63"/>
  <c r="U84" i="63"/>
  <c r="V84" i="63"/>
  <c r="W84" i="63"/>
  <c r="X84" i="63"/>
  <c r="Y84" i="63"/>
  <c r="Z84" i="63"/>
  <c r="AA84" i="63"/>
  <c r="AB84" i="63"/>
  <c r="AC84" i="63"/>
  <c r="AD84" i="63"/>
  <c r="AE84" i="63"/>
  <c r="AF84" i="63"/>
  <c r="AG84" i="63"/>
  <c r="AH84" i="63"/>
  <c r="AI84" i="63"/>
  <c r="AJ84" i="63"/>
  <c r="AK84" i="63"/>
  <c r="AL84" i="63"/>
  <c r="A86" i="63"/>
  <c r="Q82" i="63" l="1"/>
  <c r="AJ82" i="63"/>
  <c r="AE82" i="63"/>
  <c r="Z82" i="63"/>
  <c r="T82" i="63"/>
  <c r="AH82" i="63"/>
  <c r="AB82" i="63"/>
  <c r="W82" i="63"/>
  <c r="R82" i="63"/>
  <c r="AL82" i="63"/>
  <c r="AF82" i="63"/>
  <c r="AA82" i="63"/>
  <c r="V82" i="63"/>
  <c r="AI82" i="63"/>
  <c r="AD82" i="63"/>
  <c r="X82" i="63"/>
  <c r="S82" i="63"/>
  <c r="N82" i="63"/>
  <c r="AK82" i="63"/>
  <c r="AG82" i="63"/>
  <c r="AC82" i="63"/>
  <c r="Y82" i="63"/>
  <c r="U82" i="63"/>
  <c r="C86" i="63"/>
  <c r="D86" i="63"/>
  <c r="E86" i="63" s="1"/>
  <c r="F86" i="63" s="1"/>
  <c r="L86" i="63"/>
  <c r="M87" i="63"/>
  <c r="M88" i="63"/>
  <c r="G86" i="63" l="1"/>
  <c r="M86" i="63"/>
  <c r="O86" i="63"/>
  <c r="Q87" i="63"/>
  <c r="R87" i="63"/>
  <c r="S87" i="63"/>
  <c r="T87" i="63"/>
  <c r="U87" i="63"/>
  <c r="V87" i="63"/>
  <c r="W87" i="63"/>
  <c r="X87" i="63"/>
  <c r="Y87" i="63"/>
  <c r="Z87" i="63"/>
  <c r="AA87" i="63"/>
  <c r="AB87" i="63"/>
  <c r="AC87" i="63"/>
  <c r="AD87" i="63"/>
  <c r="AE87" i="63"/>
  <c r="AF87" i="63"/>
  <c r="AG87" i="63"/>
  <c r="AH87" i="63"/>
  <c r="AI87" i="63"/>
  <c r="AJ87" i="63"/>
  <c r="AK87" i="63"/>
  <c r="AL87" i="63"/>
  <c r="Q88" i="63"/>
  <c r="R88" i="63"/>
  <c r="S88" i="63"/>
  <c r="T88" i="63"/>
  <c r="U88" i="63"/>
  <c r="V88" i="63"/>
  <c r="W88" i="63"/>
  <c r="X88" i="63"/>
  <c r="Y88" i="63"/>
  <c r="Z88" i="63"/>
  <c r="AA88" i="63"/>
  <c r="AB88" i="63"/>
  <c r="AC88" i="63"/>
  <c r="AD88" i="63"/>
  <c r="AE88" i="63"/>
  <c r="AF88" i="63"/>
  <c r="AG88" i="63"/>
  <c r="AH88" i="63"/>
  <c r="AI88" i="63"/>
  <c r="AJ88" i="63"/>
  <c r="AK88" i="63"/>
  <c r="AL88" i="63"/>
  <c r="A90" i="63"/>
  <c r="Q86" i="63" l="1"/>
  <c r="S86" i="63"/>
  <c r="AI86" i="63"/>
  <c r="AD86" i="63"/>
  <c r="AA86" i="63"/>
  <c r="AL86" i="63"/>
  <c r="X86" i="63"/>
  <c r="AF86" i="63"/>
  <c r="V86" i="63"/>
  <c r="AJ86" i="63"/>
  <c r="AE86" i="63"/>
  <c r="Z86" i="63"/>
  <c r="T86" i="63"/>
  <c r="N86" i="63"/>
  <c r="AH86" i="63"/>
  <c r="AB86" i="63"/>
  <c r="W86" i="63"/>
  <c r="R86" i="63"/>
  <c r="AK86" i="63"/>
  <c r="AG86" i="63"/>
  <c r="AC86" i="63"/>
  <c r="Y86" i="63"/>
  <c r="U86" i="63"/>
  <c r="C90" i="63"/>
  <c r="D90" i="63"/>
  <c r="E90" i="63" s="1"/>
  <c r="F90" i="63" s="1"/>
  <c r="L90" i="63"/>
  <c r="M91" i="63"/>
  <c r="M92" i="63"/>
  <c r="G90" i="63" l="1"/>
  <c r="M90" i="63"/>
  <c r="O90" i="63"/>
  <c r="Q91" i="63"/>
  <c r="R91" i="63"/>
  <c r="S91" i="63"/>
  <c r="T91" i="63"/>
  <c r="U91" i="63"/>
  <c r="V91" i="63"/>
  <c r="W91" i="63"/>
  <c r="X91" i="63"/>
  <c r="Y91" i="63"/>
  <c r="Z91" i="63"/>
  <c r="AA91" i="63"/>
  <c r="AB91" i="63"/>
  <c r="AC91" i="63"/>
  <c r="AD91" i="63"/>
  <c r="AE91" i="63"/>
  <c r="AF91" i="63"/>
  <c r="AG91" i="63"/>
  <c r="AH91" i="63"/>
  <c r="AI91" i="63"/>
  <c r="AJ91" i="63"/>
  <c r="AK91" i="63"/>
  <c r="AL91" i="63"/>
  <c r="Q92" i="63"/>
  <c r="R92" i="63"/>
  <c r="S92" i="63"/>
  <c r="T92" i="63"/>
  <c r="U92" i="63"/>
  <c r="V92" i="63"/>
  <c r="W92" i="63"/>
  <c r="X92" i="63"/>
  <c r="Y92" i="63"/>
  <c r="Z92" i="63"/>
  <c r="AA92" i="63"/>
  <c r="AB92" i="63"/>
  <c r="AC92" i="63"/>
  <c r="AD92" i="63"/>
  <c r="AE92" i="63"/>
  <c r="AF92" i="63"/>
  <c r="AG92" i="63"/>
  <c r="AH92" i="63"/>
  <c r="AI92" i="63"/>
  <c r="AJ92" i="63"/>
  <c r="AK92" i="63"/>
  <c r="AL92" i="63"/>
  <c r="A94" i="63"/>
  <c r="Q90" i="63" l="1"/>
  <c r="S90" i="63"/>
  <c r="AJ90" i="63"/>
  <c r="AI90" i="63"/>
  <c r="AD90" i="63"/>
  <c r="AL90" i="63"/>
  <c r="AA90" i="63"/>
  <c r="X90" i="63"/>
  <c r="AF90" i="63"/>
  <c r="V90" i="63"/>
  <c r="AE90" i="63"/>
  <c r="Z90" i="63"/>
  <c r="T90" i="63"/>
  <c r="N90" i="63"/>
  <c r="AH90" i="63"/>
  <c r="AB90" i="63"/>
  <c r="W90" i="63"/>
  <c r="R90" i="63"/>
  <c r="AK90" i="63"/>
  <c r="AG90" i="63"/>
  <c r="AC90" i="63"/>
  <c r="Y90" i="63"/>
  <c r="U90" i="63"/>
  <c r="C94" i="63"/>
  <c r="D94" i="63"/>
  <c r="G94" i="63" s="1"/>
  <c r="L94" i="63"/>
  <c r="M95" i="63"/>
  <c r="M96" i="63"/>
  <c r="E94" i="63" l="1"/>
  <c r="F94" i="63" s="1"/>
  <c r="M94" i="63"/>
  <c r="O94" i="63"/>
  <c r="Q95" i="63"/>
  <c r="R95" i="63"/>
  <c r="S95" i="63"/>
  <c r="T95" i="63"/>
  <c r="U95" i="63"/>
  <c r="V95" i="63"/>
  <c r="W95" i="63"/>
  <c r="X95" i="63"/>
  <c r="Y95" i="63"/>
  <c r="Z95" i="63"/>
  <c r="AA95" i="63"/>
  <c r="AB95" i="63"/>
  <c r="AC95" i="63"/>
  <c r="AD95" i="63"/>
  <c r="AE95" i="63"/>
  <c r="AF95" i="63"/>
  <c r="AG95" i="63"/>
  <c r="AH95" i="63"/>
  <c r="AI95" i="63"/>
  <c r="AJ95" i="63"/>
  <c r="AK95" i="63"/>
  <c r="AL95" i="63"/>
  <c r="Q96" i="63"/>
  <c r="R96" i="63"/>
  <c r="S96" i="63"/>
  <c r="T96" i="63"/>
  <c r="U96" i="63"/>
  <c r="V96" i="63"/>
  <c r="W96" i="63"/>
  <c r="X96" i="63"/>
  <c r="Y96" i="63"/>
  <c r="Z96" i="63"/>
  <c r="AA96" i="63"/>
  <c r="AB96" i="63"/>
  <c r="AC96" i="63"/>
  <c r="AD96" i="63"/>
  <c r="AE96" i="63"/>
  <c r="AF96" i="63"/>
  <c r="AG96" i="63"/>
  <c r="AH96" i="63"/>
  <c r="AI96" i="63"/>
  <c r="AJ96" i="63"/>
  <c r="AK96" i="63"/>
  <c r="AL96" i="63"/>
  <c r="A98" i="63"/>
  <c r="Z94" i="63" l="1"/>
  <c r="W94" i="63"/>
  <c r="AK94" i="63"/>
  <c r="AL94" i="63"/>
  <c r="AI94" i="63"/>
  <c r="AG94" i="63"/>
  <c r="AE94" i="63"/>
  <c r="AJ94" i="63"/>
  <c r="AC94" i="63"/>
  <c r="AA94" i="63"/>
  <c r="AF94" i="63"/>
  <c r="AB94" i="63"/>
  <c r="AH94" i="63"/>
  <c r="AD94" i="63"/>
  <c r="N94" i="63"/>
  <c r="Y94" i="63"/>
  <c r="V94" i="63"/>
  <c r="S94" i="63"/>
  <c r="X94" i="63"/>
  <c r="R94" i="63"/>
  <c r="Q94" i="63"/>
  <c r="U94" i="63"/>
  <c r="T94" i="63"/>
  <c r="C98" i="63"/>
  <c r="D98" i="63"/>
  <c r="G98" i="63" s="1"/>
  <c r="L98" i="63"/>
  <c r="M99" i="63"/>
  <c r="M100" i="63"/>
  <c r="E98" i="63" l="1"/>
  <c r="F98" i="63" s="1"/>
  <c r="M98" i="63"/>
  <c r="O98" i="63"/>
  <c r="Q99" i="63"/>
  <c r="R99" i="63"/>
  <c r="S99" i="63"/>
  <c r="T99" i="63"/>
  <c r="U99" i="63"/>
  <c r="V99" i="63"/>
  <c r="W99" i="63"/>
  <c r="X99" i="63"/>
  <c r="Y99" i="63"/>
  <c r="Z99" i="63"/>
  <c r="AA99" i="63"/>
  <c r="AB99" i="63"/>
  <c r="AC99" i="63"/>
  <c r="AD99" i="63"/>
  <c r="AE99" i="63"/>
  <c r="AF99" i="63"/>
  <c r="AG99" i="63"/>
  <c r="AH99" i="63"/>
  <c r="AI99" i="63"/>
  <c r="AJ99" i="63"/>
  <c r="AK99" i="63"/>
  <c r="AL99" i="63"/>
  <c r="Q100" i="63"/>
  <c r="R100" i="63"/>
  <c r="S100" i="63"/>
  <c r="T100" i="63"/>
  <c r="U100" i="63"/>
  <c r="V100" i="63"/>
  <c r="W100" i="63"/>
  <c r="X100" i="63"/>
  <c r="Y100" i="63"/>
  <c r="Z100" i="63"/>
  <c r="AA100" i="63"/>
  <c r="AB100" i="63"/>
  <c r="AC100" i="63"/>
  <c r="AD100" i="63"/>
  <c r="AE100" i="63"/>
  <c r="AF100" i="63"/>
  <c r="AG100" i="63"/>
  <c r="AH100" i="63"/>
  <c r="AI100" i="63"/>
  <c r="AJ100" i="63"/>
  <c r="AK100" i="63"/>
  <c r="AL100" i="63"/>
  <c r="A102" i="63"/>
  <c r="Q98" i="63" l="1"/>
  <c r="T98" i="63"/>
  <c r="AJ98" i="63"/>
  <c r="AE98" i="63"/>
  <c r="Z98" i="63"/>
  <c r="AH98" i="63"/>
  <c r="AB98" i="63"/>
  <c r="W98" i="63"/>
  <c r="R98" i="63"/>
  <c r="AL98" i="63"/>
  <c r="AF98" i="63"/>
  <c r="AA98" i="63"/>
  <c r="V98" i="63"/>
  <c r="AI98" i="63"/>
  <c r="AD98" i="63"/>
  <c r="X98" i="63"/>
  <c r="S98" i="63"/>
  <c r="N98" i="63"/>
  <c r="AK98" i="63"/>
  <c r="AG98" i="63"/>
  <c r="AC98" i="63"/>
  <c r="Y98" i="63"/>
  <c r="U98" i="63"/>
  <c r="C102" i="63"/>
  <c r="D102" i="63"/>
  <c r="E102" i="63" s="1"/>
  <c r="F102" i="63" s="1"/>
  <c r="L102" i="63"/>
  <c r="M103" i="63"/>
  <c r="M104" i="63"/>
  <c r="G102" i="63" l="1"/>
  <c r="M102" i="63"/>
  <c r="O102" i="63"/>
  <c r="Q103" i="63"/>
  <c r="R103" i="63"/>
  <c r="S103" i="63"/>
  <c r="T103" i="63"/>
  <c r="U103" i="63"/>
  <c r="V103" i="63"/>
  <c r="W103" i="63"/>
  <c r="X103" i="63"/>
  <c r="Y103" i="63"/>
  <c r="Z103" i="63"/>
  <c r="AA103" i="63"/>
  <c r="AB103" i="63"/>
  <c r="AC103" i="63"/>
  <c r="AD103" i="63"/>
  <c r="AE103" i="63"/>
  <c r="AF103" i="63"/>
  <c r="AG103" i="63"/>
  <c r="AH103" i="63"/>
  <c r="AI103" i="63"/>
  <c r="AJ103" i="63"/>
  <c r="AK103" i="63"/>
  <c r="AL103" i="63"/>
  <c r="Q104" i="63"/>
  <c r="R104" i="63"/>
  <c r="S104" i="63"/>
  <c r="T104" i="63"/>
  <c r="U104" i="63"/>
  <c r="V104" i="63"/>
  <c r="W104" i="63"/>
  <c r="X104" i="63"/>
  <c r="Y104" i="63"/>
  <c r="Z104" i="63"/>
  <c r="AA104" i="63"/>
  <c r="AB104" i="63"/>
  <c r="AC104" i="63"/>
  <c r="AD104" i="63"/>
  <c r="AE104" i="63"/>
  <c r="AF104" i="63"/>
  <c r="AG104" i="63"/>
  <c r="AH104" i="63"/>
  <c r="AI104" i="63"/>
  <c r="AJ104" i="63"/>
  <c r="AK104" i="63"/>
  <c r="AL104" i="63"/>
  <c r="A106" i="63"/>
  <c r="Q102" i="63" l="1"/>
  <c r="AF102" i="63"/>
  <c r="V102" i="63"/>
  <c r="AJ102" i="63"/>
  <c r="AE102" i="63"/>
  <c r="Z102" i="63"/>
  <c r="T102" i="63"/>
  <c r="N102" i="63"/>
  <c r="AL102" i="63"/>
  <c r="AA102" i="63"/>
  <c r="AI102" i="63"/>
  <c r="AD102" i="63"/>
  <c r="X102" i="63"/>
  <c r="S102" i="63"/>
  <c r="AH102" i="63"/>
  <c r="AB102" i="63"/>
  <c r="W102" i="63"/>
  <c r="R102" i="63"/>
  <c r="AK102" i="63"/>
  <c r="AG102" i="63"/>
  <c r="AC102" i="63"/>
  <c r="Y102" i="63"/>
  <c r="U102" i="63"/>
  <c r="C106" i="63"/>
  <c r="D106" i="63"/>
  <c r="G106" i="63" s="1"/>
  <c r="L106" i="63"/>
  <c r="M107" i="63"/>
  <c r="M108" i="63"/>
  <c r="E106" i="63" l="1"/>
  <c r="F106" i="63" s="1"/>
  <c r="M106" i="63"/>
  <c r="O106" i="63"/>
  <c r="Q107" i="63"/>
  <c r="R107" i="63"/>
  <c r="S107" i="63"/>
  <c r="T107" i="63"/>
  <c r="U107" i="63"/>
  <c r="V107" i="63"/>
  <c r="W107" i="63"/>
  <c r="X107" i="63"/>
  <c r="Y107" i="63"/>
  <c r="Z107" i="63"/>
  <c r="AA107" i="63"/>
  <c r="AB107" i="63"/>
  <c r="AC107" i="63"/>
  <c r="AD107" i="63"/>
  <c r="AE107" i="63"/>
  <c r="AF107" i="63"/>
  <c r="AG107" i="63"/>
  <c r="AH107" i="63"/>
  <c r="AI107" i="63"/>
  <c r="AJ107" i="63"/>
  <c r="AK107" i="63"/>
  <c r="AL107" i="63"/>
  <c r="Q108" i="63"/>
  <c r="R108" i="63"/>
  <c r="S108" i="63"/>
  <c r="T108" i="63"/>
  <c r="U108" i="63"/>
  <c r="V108" i="63"/>
  <c r="W108" i="63"/>
  <c r="X108" i="63"/>
  <c r="Y108" i="63"/>
  <c r="Z108" i="63"/>
  <c r="AA108" i="63"/>
  <c r="AB108" i="63"/>
  <c r="AC108" i="63"/>
  <c r="AD108" i="63"/>
  <c r="AE108" i="63"/>
  <c r="AF108" i="63"/>
  <c r="AG108" i="63"/>
  <c r="AH108" i="63"/>
  <c r="AI108" i="63"/>
  <c r="AJ108" i="63"/>
  <c r="AK108" i="63"/>
  <c r="AL108" i="63"/>
  <c r="A110" i="63"/>
  <c r="N106" i="63" l="1"/>
  <c r="Q106" i="63"/>
  <c r="AL106" i="63"/>
  <c r="AI106" i="63"/>
  <c r="AE106" i="63"/>
  <c r="AA106" i="63"/>
  <c r="AK106" i="63"/>
  <c r="AC106" i="63"/>
  <c r="AG106" i="63"/>
  <c r="W106" i="63"/>
  <c r="AH106" i="63"/>
  <c r="AD106" i="63"/>
  <c r="Y106" i="63"/>
  <c r="AJ106" i="63"/>
  <c r="AF106" i="63"/>
  <c r="AB106" i="63"/>
  <c r="R106" i="63"/>
  <c r="S106" i="63"/>
  <c r="T106" i="63"/>
  <c r="V106" i="63"/>
  <c r="Z106" i="63"/>
  <c r="U106" i="63"/>
  <c r="X106" i="63"/>
  <c r="C110" i="63"/>
  <c r="D110" i="63"/>
  <c r="G110" i="63" s="1"/>
  <c r="L110" i="63"/>
  <c r="M111" i="63"/>
  <c r="M112" i="63"/>
  <c r="E110" i="63" l="1"/>
  <c r="F110" i="63" s="1"/>
  <c r="M110" i="63"/>
  <c r="O110" i="63"/>
  <c r="Q111" i="63"/>
  <c r="R111" i="63"/>
  <c r="S111" i="63"/>
  <c r="T111" i="63"/>
  <c r="U111" i="63"/>
  <c r="V111" i="63"/>
  <c r="W111" i="63"/>
  <c r="X111" i="63"/>
  <c r="Y111" i="63"/>
  <c r="Z111" i="63"/>
  <c r="AA111" i="63"/>
  <c r="AB111" i="63"/>
  <c r="AC111" i="63"/>
  <c r="AD111" i="63"/>
  <c r="AE111" i="63"/>
  <c r="AF111" i="63"/>
  <c r="AG111" i="63"/>
  <c r="AH111" i="63"/>
  <c r="AI111" i="63"/>
  <c r="AJ111" i="63"/>
  <c r="AK111" i="63"/>
  <c r="AL111" i="63"/>
  <c r="Q112" i="63"/>
  <c r="R112" i="63"/>
  <c r="S112" i="63"/>
  <c r="T112" i="63"/>
  <c r="U112" i="63"/>
  <c r="V112" i="63"/>
  <c r="W112" i="63"/>
  <c r="X112" i="63"/>
  <c r="Y112" i="63"/>
  <c r="Z112" i="63"/>
  <c r="AA112" i="63"/>
  <c r="AB112" i="63"/>
  <c r="AC112" i="63"/>
  <c r="AD112" i="63"/>
  <c r="AE112" i="63"/>
  <c r="AF112" i="63"/>
  <c r="AG112" i="63"/>
  <c r="AH112" i="63"/>
  <c r="AI112" i="63"/>
  <c r="AJ112" i="63"/>
  <c r="AK112" i="63"/>
  <c r="AL112" i="63"/>
  <c r="A114" i="63"/>
  <c r="Q110" i="63" l="1"/>
  <c r="AJ110" i="63"/>
  <c r="S110" i="63"/>
  <c r="AD110" i="63"/>
  <c r="AF110" i="63"/>
  <c r="X110" i="63"/>
  <c r="AI110" i="63"/>
  <c r="Z110" i="63"/>
  <c r="AL110" i="63"/>
  <c r="AE110" i="63"/>
  <c r="V110" i="63"/>
  <c r="AH110" i="63"/>
  <c r="AA110" i="63"/>
  <c r="T110" i="63"/>
  <c r="N110" i="63"/>
  <c r="AK110" i="63"/>
  <c r="AG110" i="63"/>
  <c r="AB110" i="63"/>
  <c r="W110" i="63"/>
  <c r="R110" i="63"/>
  <c r="AC110" i="63"/>
  <c r="Y110" i="63"/>
  <c r="U110" i="63"/>
  <c r="C114" i="63"/>
  <c r="D114" i="63"/>
  <c r="G114" i="63" s="1"/>
  <c r="L114" i="63"/>
  <c r="M115" i="63"/>
  <c r="M116" i="63"/>
  <c r="E114" i="63" l="1"/>
  <c r="F114" i="63" s="1"/>
  <c r="M114" i="63"/>
  <c r="O114" i="63"/>
  <c r="Q115" i="63"/>
  <c r="R115" i="63"/>
  <c r="S115" i="63"/>
  <c r="T115" i="63"/>
  <c r="U115" i="63"/>
  <c r="V115" i="63"/>
  <c r="W115" i="63"/>
  <c r="X115" i="63"/>
  <c r="Y115" i="63"/>
  <c r="Z115" i="63"/>
  <c r="AA115" i="63"/>
  <c r="AB115" i="63"/>
  <c r="AC115" i="63"/>
  <c r="AD115" i="63"/>
  <c r="AE115" i="63"/>
  <c r="AF115" i="63"/>
  <c r="AG115" i="63"/>
  <c r="AH115" i="63"/>
  <c r="AI115" i="63"/>
  <c r="AJ115" i="63"/>
  <c r="AK115" i="63"/>
  <c r="AL115" i="63"/>
  <c r="Q116" i="63"/>
  <c r="R116" i="63"/>
  <c r="S116" i="63"/>
  <c r="T116" i="63"/>
  <c r="U116" i="63"/>
  <c r="V116" i="63"/>
  <c r="W116" i="63"/>
  <c r="X116" i="63"/>
  <c r="Y116" i="63"/>
  <c r="Z116" i="63"/>
  <c r="AA116" i="63"/>
  <c r="AB116" i="63"/>
  <c r="AC116" i="63"/>
  <c r="AD116" i="63"/>
  <c r="AE116" i="63"/>
  <c r="AF116" i="63"/>
  <c r="AG116" i="63"/>
  <c r="AH116" i="63"/>
  <c r="AI116" i="63"/>
  <c r="AJ116" i="63"/>
  <c r="AK116" i="63"/>
  <c r="AL116" i="63"/>
  <c r="A118" i="63"/>
  <c r="T114" i="63" l="1"/>
  <c r="AJ114" i="63"/>
  <c r="AE114" i="63"/>
  <c r="AA114" i="63"/>
  <c r="W114" i="63"/>
  <c r="Q114" i="63"/>
  <c r="AL114" i="63"/>
  <c r="AH114" i="63"/>
  <c r="AD114" i="63"/>
  <c r="Z114" i="63"/>
  <c r="V114" i="63"/>
  <c r="AF114" i="63"/>
  <c r="AB114" i="63"/>
  <c r="X114" i="63"/>
  <c r="R114" i="63"/>
  <c r="AI114" i="63"/>
  <c r="AK114" i="63"/>
  <c r="AG114" i="63"/>
  <c r="AC114" i="63"/>
  <c r="Y114" i="63"/>
  <c r="S114" i="63"/>
  <c r="N114" i="63"/>
  <c r="U114" i="63"/>
  <c r="C118" i="63"/>
  <c r="D118" i="63"/>
  <c r="G118" i="63" s="1"/>
  <c r="L118" i="63"/>
  <c r="M119" i="63"/>
  <c r="M120" i="63"/>
  <c r="E118" i="63" l="1"/>
  <c r="F118" i="63" s="1"/>
  <c r="M118" i="63"/>
  <c r="O118" i="63"/>
  <c r="Q119" i="63"/>
  <c r="R119" i="63"/>
  <c r="S119" i="63"/>
  <c r="T119" i="63"/>
  <c r="U119" i="63"/>
  <c r="V119" i="63"/>
  <c r="W119" i="63"/>
  <c r="X119" i="63"/>
  <c r="Y119" i="63"/>
  <c r="Z119" i="63"/>
  <c r="AA119" i="63"/>
  <c r="AB119" i="63"/>
  <c r="AC119" i="63"/>
  <c r="AD119" i="63"/>
  <c r="AE119" i="63"/>
  <c r="AF119" i="63"/>
  <c r="AG119" i="63"/>
  <c r="AH119" i="63"/>
  <c r="AI119" i="63"/>
  <c r="AJ119" i="63"/>
  <c r="AK119" i="63"/>
  <c r="AL119" i="63"/>
  <c r="Q120" i="63"/>
  <c r="R120" i="63"/>
  <c r="S120" i="63"/>
  <c r="T120" i="63"/>
  <c r="U120" i="63"/>
  <c r="V120" i="63"/>
  <c r="W120" i="63"/>
  <c r="X120" i="63"/>
  <c r="Y120" i="63"/>
  <c r="Z120" i="63"/>
  <c r="AA120" i="63"/>
  <c r="AB120" i="63"/>
  <c r="AC120" i="63"/>
  <c r="AD120" i="63"/>
  <c r="AE120" i="63"/>
  <c r="AF120" i="63"/>
  <c r="AG120" i="63"/>
  <c r="AH120" i="63"/>
  <c r="AI120" i="63"/>
  <c r="AJ120" i="63"/>
  <c r="AK120" i="63"/>
  <c r="AL120" i="63"/>
  <c r="A122" i="63"/>
  <c r="Q118" i="63" l="1"/>
  <c r="T118" i="63"/>
  <c r="AI118" i="63"/>
  <c r="AB118" i="63"/>
  <c r="AF118" i="63"/>
  <c r="AK118" i="63"/>
  <c r="Z118" i="63"/>
  <c r="AL118" i="63"/>
  <c r="AH118" i="63"/>
  <c r="AA118" i="63"/>
  <c r="AJ118" i="63"/>
  <c r="AE118" i="63"/>
  <c r="W118" i="63"/>
  <c r="V118" i="63"/>
  <c r="N118" i="63"/>
  <c r="AD118" i="63"/>
  <c r="X118" i="63"/>
  <c r="S118" i="63"/>
  <c r="R118" i="63"/>
  <c r="AG118" i="63"/>
  <c r="AC118" i="63"/>
  <c r="Y118" i="63"/>
  <c r="U118" i="63"/>
  <c r="C122" i="63"/>
  <c r="D122" i="63"/>
  <c r="G122" i="63" s="1"/>
  <c r="L122" i="63"/>
  <c r="M123" i="63"/>
  <c r="M124" i="63"/>
  <c r="E122" i="63" l="1"/>
  <c r="F122" i="63" s="1"/>
  <c r="M122" i="63"/>
  <c r="O122" i="63"/>
  <c r="Q123" i="63"/>
  <c r="R123" i="63"/>
  <c r="S123" i="63"/>
  <c r="T123" i="63"/>
  <c r="U123" i="63"/>
  <c r="V123" i="63"/>
  <c r="W123" i="63"/>
  <c r="X123" i="63"/>
  <c r="Y123" i="63"/>
  <c r="Z123" i="63"/>
  <c r="AA123" i="63"/>
  <c r="AB123" i="63"/>
  <c r="AC123" i="63"/>
  <c r="AD123" i="63"/>
  <c r="AE123" i="63"/>
  <c r="AF123" i="63"/>
  <c r="AG123" i="63"/>
  <c r="AH123" i="63"/>
  <c r="AI123" i="63"/>
  <c r="AJ123" i="63"/>
  <c r="AK123" i="63"/>
  <c r="AL123" i="63"/>
  <c r="Q124" i="63"/>
  <c r="R124" i="63"/>
  <c r="S124" i="63"/>
  <c r="T124" i="63"/>
  <c r="U124" i="63"/>
  <c r="V124" i="63"/>
  <c r="W124" i="63"/>
  <c r="X124" i="63"/>
  <c r="Y124" i="63"/>
  <c r="Z124" i="63"/>
  <c r="AA124" i="63"/>
  <c r="AB124" i="63"/>
  <c r="AC124" i="63"/>
  <c r="AD124" i="63"/>
  <c r="AE124" i="63"/>
  <c r="AF124" i="63"/>
  <c r="AG124" i="63"/>
  <c r="AH124" i="63"/>
  <c r="AI124" i="63"/>
  <c r="AJ124" i="63"/>
  <c r="AK124" i="63"/>
  <c r="AL124" i="63"/>
  <c r="T122" i="63" l="1"/>
  <c r="AF122" i="63"/>
  <c r="AE122" i="63"/>
  <c r="W122" i="63"/>
  <c r="AJ122" i="63"/>
  <c r="AI122" i="63"/>
  <c r="S122" i="63"/>
  <c r="AB122" i="63"/>
  <c r="R122" i="63"/>
  <c r="AA122" i="63"/>
  <c r="N122" i="63"/>
  <c r="X122" i="63"/>
  <c r="AL122" i="63"/>
  <c r="AH122" i="63"/>
  <c r="AD122" i="63"/>
  <c r="Z122" i="63"/>
  <c r="V122" i="63"/>
  <c r="Q122" i="63"/>
  <c r="AK122" i="63"/>
  <c r="AG122" i="63"/>
  <c r="AC122" i="63"/>
  <c r="Y122" i="63"/>
  <c r="U122" i="63"/>
</calcChain>
</file>

<file path=xl/sharedStrings.xml><?xml version="1.0" encoding="utf-8"?>
<sst xmlns="http://schemas.openxmlformats.org/spreadsheetml/2006/main" count="273" uniqueCount="100">
  <si>
    <t xml:space="preserve"> </t>
  </si>
  <si>
    <t>days to mature</t>
  </si>
  <si>
    <t>risk free rate</t>
  </si>
  <si>
    <t>cost of carry</t>
  </si>
  <si>
    <t>futures price</t>
  </si>
  <si>
    <t>time</t>
  </si>
  <si>
    <t>exp</t>
  </si>
  <si>
    <t>THETA</t>
  </si>
  <si>
    <t>GAMMA</t>
  </si>
  <si>
    <t>trans cost?</t>
  </si>
  <si>
    <t>Scaled Vol</t>
  </si>
  <si>
    <t>Ticks Distance</t>
  </si>
  <si>
    <t>1 std (ticks)</t>
  </si>
  <si>
    <t>Zscore</t>
  </si>
  <si>
    <t>P (hit)</t>
  </si>
  <si>
    <t>OVERTRADE Ratio</t>
  </si>
  <si>
    <t>distance</t>
  </si>
  <si>
    <t>Transaction Cost Ticks</t>
  </si>
  <si>
    <t>p(hit)</t>
  </si>
  <si>
    <t>BPZ5 Curncy</t>
  </si>
  <si>
    <t>INPUTS</t>
  </si>
  <si>
    <t>FUTURES  SYMBOL</t>
  </si>
  <si>
    <t>OVERTRADE RATIO</t>
  </si>
  <si>
    <t>TRANSACTION COST IN TICKS</t>
  </si>
  <si>
    <t>LAST_PRICE</t>
  </si>
  <si>
    <t>IVOL_MID_RT</t>
  </si>
  <si>
    <t>DELTA_MID_RT</t>
  </si>
  <si>
    <t>ITM penalty</t>
  </si>
  <si>
    <t>3BV5</t>
  </si>
  <si>
    <t>How the spreadsheet works:</t>
  </si>
  <si>
    <t>Inputs are in yellow</t>
  </si>
  <si>
    <t xml:space="preserve">note: in the matrix current positions are in yellow cells, these are input by the user </t>
  </si>
  <si>
    <t>CALCULATIONS</t>
  </si>
  <si>
    <t>the last price for the underlying future is called from Bloomberg with LAST_PRICE</t>
  </si>
  <si>
    <t>the the DELTA_MID_RT and  IVOL_MID_RT are called from Bloomberg for the call option in column I or the put option in row 21 DELTA_MID_RT and  IVOL_MID_RT are called from Bloomberg for the call option in column I or the put option in row 21</t>
  </si>
  <si>
    <t>THE Bloomberg data updates every minute</t>
  </si>
  <si>
    <t>THETA and GAMMA are calculated from the futures price and implied vol using the CGBlackScholes function</t>
  </si>
  <si>
    <t>Scaled Vol is calculated from the days to maturity and the implied vol</t>
  </si>
  <si>
    <t>Ticks Distance is calculated from strike minus the futures price</t>
  </si>
  <si>
    <t>Zscore is calculated from Ticks Distance dived by the 1 std dev (ticks)</t>
  </si>
  <si>
    <t>P(hit) is 1-NORM.S.DIST(Zscore,1)</t>
  </si>
  <si>
    <t>ITM penalty is 1/4 or the Transaction cost in ticks/the days to maturity for each leg of the spread that is in the money</t>
  </si>
  <si>
    <t>MATRIX</t>
  </si>
  <si>
    <t>the upper value in the matrix is the current position input by the user or is left blank</t>
  </si>
  <si>
    <t>the middle value in the matrix is =((theta of the call+theta of the put) - transaction cost/days to maturity - (overtrade ration*transaction cost/days to maturity)*MAX(P(hit) of the call,P(hit) of the put)-(ITMpenalty of the call+ITMpenalty of the put))* 1000 to make the number easier to read</t>
  </si>
  <si>
    <t>the lower value in the matrix is the delta of the call + the delta of the put</t>
  </si>
  <si>
    <t>the darker green the better the darker red the worse</t>
  </si>
  <si>
    <t>USING THE MATRIX</t>
  </si>
  <si>
    <t>the trading tools matrix is used in conjunction with the TP2 flow chart in the following manner:</t>
  </si>
  <si>
    <t>Margin too high? - when choosing the stangle to take off use the matrix to select the spread with the least negative theta impact and delta impact</t>
  </si>
  <si>
    <t>Delta in Danger Zone? - when adding, closing, or moving stangles use the matrix to select the spread with the best delta impact along with the least negative theta impact</t>
  </si>
  <si>
    <t>Delta beyond range? - when adding, closing, or moving stangles use the matrix to select the spread with the best delta impact along with the least negative theta impact</t>
  </si>
  <si>
    <t>Any Futures? - use column in the matrix for a one contract solution and matrix for a spread (2 contract) solution</t>
  </si>
  <si>
    <t>Holding ITM options with negative theta/delta ratio? - strangles in the red zone should be rolled to green zone spreads</t>
  </si>
  <si>
    <t>Holding cheap OOM options? - strangles in the red zone should be rolled to green zone spreads</t>
  </si>
  <si>
    <t>Risk too high? - Lowest value spreads should be closed out,strangles in the red zone should be rolled to green zone spreads</t>
  </si>
  <si>
    <t>Margin too low? - when choosing the stangle to sell use the matrix to select the spread with the greatest theta impact and most "proper" delta impact</t>
  </si>
  <si>
    <t>Expiration? - when rolling stangles to next week use the matrix to select the spread with the best delta impact along with the least negative theta impact</t>
  </si>
  <si>
    <t>ALT TV</t>
  </si>
  <si>
    <t>C</t>
  </si>
  <si>
    <t>BID</t>
  </si>
  <si>
    <t>ASK</t>
  </si>
  <si>
    <t>POSITION</t>
  </si>
  <si>
    <t>buy back ticks</t>
  </si>
  <si>
    <t>ADJ TV OPTION</t>
  </si>
  <si>
    <t>incl trans cost</t>
  </si>
  <si>
    <t>portfolio theta</t>
  </si>
  <si>
    <t>TABLE 1 COLUMN OPTION SYMBOL</t>
  </si>
  <si>
    <t>TABLE 1 COLUMN EXPIRATION</t>
  </si>
  <si>
    <t>TABLE 1 ROW OPTION SYMBOL</t>
  </si>
  <si>
    <t>TABLE 1 ROW EXPIRATION</t>
  </si>
  <si>
    <t>COLUMN</t>
  </si>
  <si>
    <t>ROW</t>
  </si>
  <si>
    <t>158CALL_147PUT</t>
  </si>
  <si>
    <t>158CALL_147.5PUT</t>
  </si>
  <si>
    <t>158CALL_148PUT</t>
  </si>
  <si>
    <t>158CALL_148.5PUT</t>
  </si>
  <si>
    <t>158CALL_149PUT</t>
  </si>
  <si>
    <t>158CALL_149.5PUT</t>
  </si>
  <si>
    <t>158CALL_150PUT</t>
  </si>
  <si>
    <t>158CALL_150.5PUT</t>
  </si>
  <si>
    <t>158CALL_151PUT</t>
  </si>
  <si>
    <t>158CALL_151.5PUT</t>
  </si>
  <si>
    <t>158CALL_152PUT</t>
  </si>
  <si>
    <t>158CALL_152.5PUT</t>
  </si>
  <si>
    <t>158CALL_153PUT</t>
  </si>
  <si>
    <t>158CALL_153.5PUT</t>
  </si>
  <si>
    <t>158CALL_154PUT</t>
  </si>
  <si>
    <t>158CALL_154.5PUT</t>
  </si>
  <si>
    <t>158CALL_155PUT</t>
  </si>
  <si>
    <t>158CALL_155.5PUT</t>
  </si>
  <si>
    <t>158CALL_156PUT</t>
  </si>
  <si>
    <t>158CALL_156.5PUT</t>
  </si>
  <si>
    <t>158CALL_157PUT</t>
  </si>
  <si>
    <t>158CALL_157.5PUT</t>
  </si>
  <si>
    <t>P</t>
  </si>
  <si>
    <t>TABLE 1</t>
  </si>
  <si>
    <t>4BV5</t>
  </si>
  <si>
    <t>3BV5P</t>
  </si>
  <si>
    <t>3BV5C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</si>
</sst>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_(* #,##0.00_);_(* \(#,##0.00\);_(* &quot;-&quot;??_);_(@_)"/>
    <numFmt numFmtId="165" formatCode="0.00000"/>
    <numFmt numFmtId="166" formatCode="0.0000"/>
    <numFmt numFmtId="167" formatCode="0.0"/>
    <numFmt numFmtId="168" formatCode="0.000000"/>
    <numFmt numFmtId="172" formatCode="0.0000000"/>
    <numFmt numFmtId="173" formatCode="0.000"/>
    <numFmt numFmtId="174" formatCode="_(* #,##0.0000_);_(* \(#,##0.0000\);_(* &quot;-&quot;??_);_(@_)"/>
    <numFmt numFmtId="176" formatCode="0.00000000"/>
  </numFmts>
  <fonts count="10">
    <font>
      <sz val="9"/>
      <name val="Genev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Geneva"/>
    </font>
    <font>
      <b/>
      <sz val="9"/>
      <name val="Geneva"/>
    </font>
    <font>
      <b/>
      <u/>
      <sz val="12"/>
      <name val="Geneva"/>
    </font>
    <font>
      <b/>
      <u/>
      <sz val="14"/>
      <name val="Geneva"/>
    </font>
    <font>
      <b/>
      <sz val="9"/>
      <color rgb="FFFF0000"/>
      <name val="Geneva"/>
    </font>
    <font>
      <b/>
      <u/>
      <sz val="9"/>
      <name val="Geneva"/>
    </font>
    <font>
      <b/>
      <sz val="14"/>
      <color rgb="FFFF0000"/>
      <name val="Geneva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</borders>
  <cellStyleXfs count="7">
    <xf numFmtId="0" fontId="0" fillId="0" borderId="0"/>
    <xf numFmtId="164" fontId="3" fillId="0" borderId="0" applyFont="0" applyFill="0" applyBorder="0" applyAlignment="0" applyProtection="0"/>
    <xf numFmtId="0" fontId="2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</cellStyleXfs>
  <cellXfs count="66">
    <xf numFmtId="0" fontId="0" fillId="0" borderId="0" xfId="0"/>
    <xf numFmtId="22" fontId="0" fillId="0" borderId="0" xfId="0" applyNumberFormat="1"/>
    <xf numFmtId="2" fontId="0" fillId="0" borderId="0" xfId="0" applyNumberFormat="1"/>
    <xf numFmtId="10" fontId="0" fillId="0" borderId="0" xfId="0" applyNumberFormat="1" applyFill="1"/>
    <xf numFmtId="0" fontId="0" fillId="0" borderId="0" xfId="0" applyFill="1"/>
    <xf numFmtId="168" fontId="0" fillId="0" borderId="0" xfId="0" applyNumberFormat="1" applyFill="1"/>
    <xf numFmtId="10" fontId="0" fillId="2" borderId="0" xfId="0" applyNumberFormat="1" applyFill="1"/>
    <xf numFmtId="0" fontId="5" fillId="0" borderId="0" xfId="0" applyFont="1"/>
    <xf numFmtId="0" fontId="6" fillId="0" borderId="0" xfId="0" applyFont="1" applyFill="1"/>
    <xf numFmtId="2" fontId="0" fillId="0" borderId="0" xfId="0" applyNumberFormat="1" applyFill="1"/>
    <xf numFmtId="173" fontId="0" fillId="0" borderId="0" xfId="0" applyNumberFormat="1"/>
    <xf numFmtId="174" fontId="0" fillId="2" borderId="0" xfId="1" applyNumberFormat="1" applyFont="1" applyFill="1"/>
    <xf numFmtId="10" fontId="0" fillId="4" borderId="0" xfId="0" applyNumberFormat="1" applyFill="1"/>
    <xf numFmtId="2" fontId="0" fillId="4" borderId="0" xfId="0" applyNumberFormat="1" applyFill="1"/>
    <xf numFmtId="0" fontId="0" fillId="5" borderId="0" xfId="0" applyFill="1"/>
    <xf numFmtId="22" fontId="0" fillId="5" borderId="0" xfId="0" applyNumberFormat="1" applyFill="1"/>
    <xf numFmtId="166" fontId="0" fillId="4" borderId="0" xfId="0" applyNumberFormat="1" applyFill="1"/>
    <xf numFmtId="22" fontId="0" fillId="0" borderId="0" xfId="0" applyNumberFormat="1" applyFill="1"/>
    <xf numFmtId="0" fontId="7" fillId="0" borderId="0" xfId="0" applyFont="1" applyFill="1"/>
    <xf numFmtId="166" fontId="0" fillId="0" borderId="0" xfId="0" applyNumberFormat="1" applyFill="1"/>
    <xf numFmtId="174" fontId="0" fillId="0" borderId="0" xfId="1" applyNumberFormat="1" applyFont="1" applyFill="1"/>
    <xf numFmtId="173" fontId="0" fillId="0" borderId="0" xfId="0" applyNumberFormat="1" applyFill="1"/>
    <xf numFmtId="173" fontId="0" fillId="0" borderId="0" xfId="0" applyNumberFormat="1" applyFill="1" applyAlignment="1">
      <alignment horizontal="center"/>
    </xf>
    <xf numFmtId="173" fontId="0" fillId="0" borderId="0" xfId="0" applyNumberFormat="1" applyAlignment="1">
      <alignment horizontal="center"/>
    </xf>
    <xf numFmtId="0" fontId="8" fillId="0" borderId="0" xfId="0" applyFont="1"/>
    <xf numFmtId="1" fontId="4" fillId="0" borderId="1" xfId="0" applyNumberFormat="1" applyFont="1" applyBorder="1"/>
    <xf numFmtId="2" fontId="0" fillId="3" borderId="2" xfId="0" applyNumberFormat="1" applyFill="1" applyBorder="1" applyAlignment="1">
      <alignment horizontal="center"/>
    </xf>
    <xf numFmtId="173" fontId="0" fillId="0" borderId="2" xfId="0" applyNumberFormat="1" applyBorder="1" applyAlignment="1">
      <alignment horizontal="center"/>
    </xf>
    <xf numFmtId="173" fontId="0" fillId="0" borderId="3" xfId="0" applyNumberFormat="1" applyFill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65" fontId="0" fillId="0" borderId="0" xfId="0" applyNumberFormat="1"/>
    <xf numFmtId="0" fontId="0" fillId="0" borderId="1" xfId="0" applyFill="1" applyBorder="1"/>
    <xf numFmtId="1" fontId="4" fillId="0" borderId="1" xfId="0" applyNumberFormat="1" applyFont="1" applyFill="1" applyBorder="1"/>
    <xf numFmtId="2" fontId="0" fillId="0" borderId="2" xfId="0" applyNumberFormat="1" applyFill="1" applyBorder="1" applyAlignment="1">
      <alignment horizontal="center"/>
    </xf>
    <xf numFmtId="173" fontId="0" fillId="0" borderId="2" xfId="0" applyNumberFormat="1" applyFill="1" applyBorder="1" applyAlignment="1">
      <alignment horizontal="center"/>
    </xf>
    <xf numFmtId="168" fontId="0" fillId="6" borderId="0" xfId="0" applyNumberFormat="1" applyFill="1"/>
    <xf numFmtId="173" fontId="0" fillId="6" borderId="0" xfId="0" applyNumberFormat="1" applyFill="1" applyAlignment="1">
      <alignment horizontal="center"/>
    </xf>
    <xf numFmtId="173" fontId="0" fillId="6" borderId="0" xfId="0" applyNumberFormat="1" applyFill="1"/>
    <xf numFmtId="0" fontId="0" fillId="6" borderId="0" xfId="0" applyFill="1"/>
    <xf numFmtId="172" fontId="0" fillId="6" borderId="0" xfId="0" applyNumberFormat="1" applyFill="1"/>
    <xf numFmtId="165" fontId="0" fillId="6" borderId="0" xfId="0" applyNumberFormat="1" applyFill="1"/>
    <xf numFmtId="166" fontId="0" fillId="6" borderId="0" xfId="0" applyNumberFormat="1" applyFill="1"/>
    <xf numFmtId="1" fontId="0" fillId="0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" fontId="6" fillId="0" borderId="0" xfId="0" applyNumberFormat="1" applyFont="1" applyFill="1" applyAlignment="1">
      <alignment horizontal="center" vertical="center"/>
    </xf>
    <xf numFmtId="168" fontId="0" fillId="3" borderId="0" xfId="0" applyNumberFormat="1" applyFill="1"/>
    <xf numFmtId="1" fontId="0" fillId="3" borderId="0" xfId="0" applyNumberFormat="1" applyFill="1" applyAlignment="1">
      <alignment horizontal="center" vertical="center"/>
    </xf>
    <xf numFmtId="166" fontId="0" fillId="3" borderId="0" xfId="0" applyNumberFormat="1" applyFill="1"/>
    <xf numFmtId="172" fontId="0" fillId="3" borderId="0" xfId="0" applyNumberFormat="1" applyFill="1"/>
    <xf numFmtId="0" fontId="0" fillId="3" borderId="0" xfId="0" applyFill="1"/>
    <xf numFmtId="172" fontId="0" fillId="3" borderId="0" xfId="0" applyNumberFormat="1" applyFill="1" applyAlignment="1">
      <alignment horizontal="center" vertical="center"/>
    </xf>
    <xf numFmtId="165" fontId="0" fillId="3" borderId="0" xfId="0" applyNumberFormat="1" applyFill="1"/>
    <xf numFmtId="168" fontId="4" fillId="3" borderId="0" xfId="0" applyNumberFormat="1" applyFont="1" applyFill="1"/>
    <xf numFmtId="1" fontId="0" fillId="7" borderId="0" xfId="0" applyNumberFormat="1" applyFill="1" applyAlignment="1">
      <alignment horizontal="center" vertical="center"/>
    </xf>
    <xf numFmtId="1" fontId="7" fillId="7" borderId="0" xfId="0" applyNumberFormat="1" applyFont="1" applyFill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0" fontId="0" fillId="0" borderId="0" xfId="0" applyFill="1" applyAlignment="1">
      <alignment horizontal="right" readingOrder="2"/>
    </xf>
    <xf numFmtId="168" fontId="0" fillId="0" borderId="0" xfId="0" applyNumberFormat="1" applyFill="1" applyAlignment="1">
      <alignment horizontal="right" readingOrder="2"/>
    </xf>
    <xf numFmtId="1" fontId="0" fillId="0" borderId="0" xfId="0" applyNumberFormat="1" applyFill="1" applyAlignment="1">
      <alignment horizontal="right" vertical="center" readingOrder="2"/>
    </xf>
    <xf numFmtId="173" fontId="0" fillId="0" borderId="0" xfId="0" applyNumberFormat="1" applyFill="1" applyAlignment="1">
      <alignment horizontal="right" readingOrder="2"/>
    </xf>
    <xf numFmtId="167" fontId="0" fillId="0" borderId="0" xfId="0" applyNumberFormat="1" applyFill="1" applyAlignment="1">
      <alignment horizontal="right" readingOrder="2"/>
    </xf>
    <xf numFmtId="0" fontId="0" fillId="5" borderId="0" xfId="0" applyFill="1" applyAlignment="1">
      <alignment horizontal="right" readingOrder="2"/>
    </xf>
    <xf numFmtId="0" fontId="0" fillId="8" borderId="0" xfId="0" applyFill="1"/>
    <xf numFmtId="0" fontId="0" fillId="2" borderId="0" xfId="0" applyFill="1"/>
    <xf numFmtId="173" fontId="0" fillId="0" borderId="1" xfId="0" applyNumberFormat="1" applyBorder="1" applyAlignment="1">
      <alignment horizontal="center"/>
    </xf>
    <xf numFmtId="1" fontId="9" fillId="9" borderId="1" xfId="0" applyNumberFormat="1" applyFont="1" applyFill="1" applyBorder="1" applyAlignment="1">
      <alignment horizontal="center"/>
    </xf>
  </cellXfs>
  <cellStyles count="7">
    <cellStyle name="Comma" xfId="1" builtinId="3"/>
    <cellStyle name="Comma 2" xfId="4"/>
    <cellStyle name="Normal" xfId="0" builtinId="0"/>
    <cellStyle name="Normal 2" xfId="3"/>
    <cellStyle name="Normal 3" xfId="2"/>
    <cellStyle name="Normal 4" xfId="6"/>
    <cellStyle name="Percent 2" xf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0.56000000000000005</v>
        <stp/>
        <stp>##V3_BDPV12</stp>
        <stp>3BV5C 153.5 COMB Curncy</stp>
        <stp>ASK</stp>
        <stp>[TCE.BB v1 10.12.2015 11.46.xlsm]GBP!R72C13</stp>
        <tr r="M72" s="63"/>
      </tp>
      <tp>
        <v>3</v>
        <stp/>
        <stp>##V3_BDPV12</stp>
        <stp>3BV5C 150.5 COMB Curncy</stp>
        <stp>BID</stp>
        <stp>[TCE.BB v1 10.12.2015 11.46.xlsm]GBP!R95C13</stp>
        <tr r="M95" s="63"/>
      </tp>
      <tp>
        <v>2.5523000000000001E-2</v>
        <stp/>
        <stp>##V3_BDPV12</stp>
        <stp>3BV5C 157.5 COMB Curncy</stp>
        <stp>DELTA_MID_RT</stp>
        <stp>[TCE.BB v1 10.12.2015 11.46.xlsm]GBP!R188C1</stp>
        <tr r="A188" s="63"/>
      </tp>
      <tp>
        <v>1</v>
        <stp/>
        <stp>##V3_BDPV12</stp>
        <stp>3BV5C 147.5 COMB Curncy</stp>
        <stp>DELTA_MID_RT</stp>
        <stp>[TCE.BB v1 10.12.2015 11.46.xlsm]GBP!R118C1</stp>
        <tr r="A118" s="63"/>
      </tp>
      <tp>
        <v>1</v>
        <stp/>
        <stp>##V3_BDPV12</stp>
        <stp>3BV5C 147.5 COMB Curncy</stp>
        <stp>DELTA_MID_RT</stp>
        <stp>[TCE.BB v1 10.12.2015 11.46.xlsm]GBP!R268C1</stp>
        <tr r="A268" s="63"/>
      </tp>
      <tp>
        <v>0.79681500000000005</v>
        <stp/>
        <stp>##V3_BDPV12</stp>
        <stp>3BV5C 152.5 COMB Curncy</stp>
        <stp>DELTA_MID_RT</stp>
        <stp>[TCE.BB v1 10.12.2015 11.46.xlsm]GBP!R228C1</stp>
        <tr r="A228" s="63"/>
      </tp>
      <tp>
        <v>1.29</v>
        <stp/>
        <stp>##V3_BDPV12</stp>
        <stp>3BV5C 152.5 COMB Curncy</stp>
        <stp>ASK</stp>
        <stp>[TCE.BB v1 10.12.2015 11.46.xlsm]GBP!R80C13</stp>
        <tr r="M80" s="63"/>
      </tp>
      <tp>
        <v>2.0499999999999998</v>
        <stp/>
        <stp>##V3_BDPV12</stp>
        <stp>3BV5C 151.5 COMB Curncy</stp>
        <stp>BID</stp>
        <stp>[TCE.BB v1 10.12.2015 11.46.xlsm]GBP!R87C13</stp>
        <tr r="M87" s="63"/>
      </tp>
      <tp>
        <v>2.19</v>
        <stp/>
        <stp>##V3_BDPV12</stp>
        <stp>3BV5C 151.5 COMB Curncy</stp>
        <stp>ASK</stp>
        <stp>[TCE.BB v1 10.12.2015 11.46.xlsm]GBP!R88C13</stp>
        <tr r="M88" s="63"/>
      </tp>
      <tp>
        <v>1.17</v>
        <stp/>
        <stp>##V3_BDPV12</stp>
        <stp>3BV5C 152.5 COMB Curncy</stp>
        <stp>BID</stp>
        <stp>[TCE.BB v1 10.12.2015 11.46.xlsm]GBP!R79C13</stp>
        <tr r="M79" s="63"/>
      </tp>
      <tp>
        <v>3.16</v>
        <stp/>
        <stp>##V3_BDPV12</stp>
        <stp>3BV5C 150.5 COMB Curncy</stp>
        <stp>ASK</stp>
        <stp>[TCE.BB v1 10.12.2015 11.46.xlsm]GBP!R96C13</stp>
        <tr r="M96" s="63"/>
      </tp>
      <tp>
        <v>0.52</v>
        <stp/>
        <stp>##V3_BDPV12</stp>
        <stp>3BV5C 153.5 COMB Curncy</stp>
        <stp>BID</stp>
        <stp>[TCE.BB v1 10.12.2015 11.46.xlsm]GBP!R71C13</stp>
        <tr r="M71" s="63"/>
      </tp>
      <tp>
        <v>0.02</v>
        <stp/>
        <stp>##V3_BDPV12</stp>
        <stp>3BV5C 157.5 COMB Curncy</stp>
        <stp>ASK</stp>
        <stp>[TCE.BB v1 10.12.2015 11.46.xlsm]GBP!R40C13</stp>
        <tr r="M40" s="63"/>
      </tp>
      <tp>
        <v>0.17</v>
        <stp/>
        <stp>##V3_BDPV12</stp>
        <stp>3BV5C 154.5 COMB Curncy</stp>
        <stp>BID</stp>
        <stp>[TCE.BB v1 10.12.2015 11.46.xlsm]GBP!R63C13</stp>
        <tr r="M63" s="63"/>
      </tp>
      <tp>
        <v>0.03</v>
        <stp/>
        <stp>##V3_BDPV12</stp>
        <stp>3BV5C 156.5 COMB Curncy</stp>
        <stp>ASK</stp>
        <stp>[TCE.BB v1 10.12.2015 11.46.xlsm]GBP!R48C13</stp>
        <tr r="M48" s="63"/>
      </tp>
      <tp>
        <v>0.05</v>
        <stp/>
        <stp>##V3_BDPV12</stp>
        <stp>3BV5C 155.5 COMB Curncy</stp>
        <stp>BID</stp>
        <stp>[TCE.BB v1 10.12.2015 11.46.xlsm]GBP!R55C13</stp>
        <tr r="M55" s="63"/>
      </tp>
      <tp>
        <v>7.0000000000000007E-2</v>
        <stp/>
        <stp>##V3_BDPV12</stp>
        <stp>3BV5C 155.5 COMB Curncy</stp>
        <stp>ASK</stp>
        <stp>[TCE.BB v1 10.12.2015 11.46.xlsm]GBP!R56C13</stp>
        <tr r="M56" s="63"/>
      </tp>
      <tp>
        <v>0.01</v>
        <stp/>
        <stp>##V3_BDPV12</stp>
        <stp>3BV5C 156.5 COMB Curncy</stp>
        <stp>BID</stp>
        <stp>[TCE.BB v1 10.12.2015 11.46.xlsm]GBP!R47C13</stp>
        <tr r="M47" s="63"/>
      </tp>
      <tp>
        <v>0.19</v>
        <stp/>
        <stp>##V3_BDPV12</stp>
        <stp>3BV5C 154.5 COMB Curncy</stp>
        <stp>ASK</stp>
        <stp>[TCE.BB v1 10.12.2015 11.46.xlsm]GBP!R64C13</stp>
        <tr r="M64" s="63"/>
      </tp>
      <tp t="s">
        <v>#N/A N/A</v>
        <stp/>
        <stp>##V3_BDPV12</stp>
        <stp>3BV5C 157.5 COMB Curncy</stp>
        <stp>BID</stp>
        <stp>[TCE.BB v1 10.12.2015 11.46.xlsm]GBP!R39C13</stp>
        <tr r="M39" s="63"/>
      </tp>
      <tp>
        <v>153.57</v>
        <stp/>
        <stp>##V3_BDPV12</stp>
        <stp>BPZ5 Curncy</stp>
        <stp>LAST_PRICE</stp>
        <stp>[TCE.BB v1 10.12.2015 11.46.xlsm]GBP!R152C13</stp>
        <tr r="M152" s="63"/>
      </tp>
      <tp>
        <v>1</v>
        <stp/>
        <stp>##V3_BDPV12</stp>
        <stp>3BV5C 148.5 COMB Curncy</stp>
        <stp>DELTA_MID_RT</stp>
        <stp>[TCE.BB v1 10.12.2015 11.46.xlsm]GBP!R110C1</stp>
        <tr r="A110" s="63"/>
      </tp>
      <tp>
        <v>1</v>
        <stp/>
        <stp>##V3_BDPV12</stp>
        <stp>3BV5C 148.5 COMB Curncy</stp>
        <stp>DELTA_MID_RT</stp>
        <stp>[TCE.BB v1 10.12.2015 11.46.xlsm]GBP!R260C1</stp>
        <tr r="A260" s="63"/>
      </tp>
      <tp>
        <v>0.52370000000000005</v>
        <stp/>
        <stp>##V3_BDPV12</stp>
        <stp>3BV5C 153.5 COMB Curncy</stp>
        <stp>DELTA_MID_RT</stp>
        <stp>[TCE.BB v1 10.12.2015 11.46.xlsm]GBP!R220C1</stp>
        <tr r="A220" s="63"/>
      </tp>
      <tp>
        <v>1</v>
        <stp/>
        <stp>##V3_BDPV12</stp>
        <stp>3BV5C 149.5 COMB Curncy</stp>
        <stp>DELTA_MID_RT</stp>
        <stp>[TCE.BB v1 10.12.2015 11.46.xlsm]GBP!R102C1</stp>
        <tr r="A102" s="63"/>
      </tp>
      <tp>
        <v>1</v>
        <stp/>
        <stp>##V3_BDPV12</stp>
        <stp>3BV5C 149.5 COMB Curncy</stp>
        <stp>DELTA_MID_RT</stp>
        <stp>[TCE.BB v1 10.12.2015 11.46.xlsm]GBP!R252C1</stp>
        <tr r="A252" s="63"/>
      </tp>
      <tp>
        <v>0.241787</v>
        <stp/>
        <stp>##V3_BDPV12</stp>
        <stp>3BV5C 154.5 COMB Curncy</stp>
        <stp>DELTA_MID_RT</stp>
        <stp>[TCE.BB v1 10.12.2015 11.46.xlsm]GBP!R212C1</stp>
        <tr r="A212" s="63"/>
      </tp>
      <tp>
        <v>0.999892</v>
        <stp/>
        <stp>##V3_BDPV12</stp>
        <stp>3BV5C 150.5 COMB Curncy</stp>
        <stp>DELTA_MID_RT</stp>
        <stp>[TCE.BB v1 10.12.2015 11.46.xlsm]GBP!R244C1</stp>
        <tr r="A244" s="63"/>
      </tp>
      <tp>
        <v>9.0702000000000005E-2</v>
        <stp/>
        <stp>##V3_BDPV12</stp>
        <stp>3BV5C 155.5 COMB Curncy</stp>
        <stp>DELTA_MID_RT</stp>
        <stp>[TCE.BB v1 10.12.2015 11.46.xlsm]GBP!R204C1</stp>
        <tr r="A204" s="63"/>
      </tp>
      <tp>
        <v>3.2050000000000002E-2</v>
        <stp/>
        <stp>##V3_BDPV12</stp>
        <stp>3BV5C 156.5 COMB Curncy</stp>
        <stp>DELTA_MID_RT</stp>
        <stp>[TCE.BB v1 10.12.2015 11.46.xlsm]GBP!R196C1</stp>
        <tr r="A196" s="63"/>
      </tp>
      <tp>
        <v>0.93435900000000005</v>
        <stp/>
        <stp>##V3_BDPV12</stp>
        <stp>3BV5C 151.5 COMB Curncy</stp>
        <stp>DELTA_MID_RT</stp>
        <stp>[TCE.BB v1 10.12.2015 11.46.xlsm]GBP!R236C1</stp>
        <tr r="A236" s="63"/>
      </tp>
      <tp>
        <v>0.02</v>
        <stp/>
        <stp>##V3_BDPV12</stp>
        <stp>3BV5P 150.5 COMB Curncy</stp>
        <stp>ASK</stp>
        <stp>[TCE.BB v1 10.12.2015 11.46.xlsm]GBP!R28C24</stp>
        <tr r="X28" s="63"/>
      </tp>
      <tp>
        <v>14.945694</v>
        <stp/>
        <stp>##V3_BDPV12</stp>
        <stp>3BV5P 148.5 COMB Curncy</stp>
        <stp>IVOL_MID_RT</stp>
        <stp>[TCE.BB v1 10.12.2015 11.46.xlsm]GBP!R16C20</stp>
        <tr r="T16" s="63"/>
      </tp>
      <tp>
        <v>0.45</v>
        <stp/>
        <stp>##V3_BDPV12</stp>
        <stp>3BV5P 153.5 COMB Curncy</stp>
        <stp>BID</stp>
        <stp>[TCE.BB v1 10.12.2015 11.46.xlsm]GBP!R27C30</stp>
        <tr r="AD27" s="63"/>
      </tp>
      <tp>
        <v>8.286092</v>
        <stp/>
        <stp>##V3_BDPV12</stp>
        <stp>3BV5C 151 COMB Curncy</stp>
        <stp>IVOL_MID_RT</stp>
        <stp>[TCE.BB v1 10.12.2015 11.46.xlsm]GBP!R240C2</stp>
        <tr r="B240" s="63"/>
      </tp>
      <tp>
        <v>9.3806910000000006</v>
        <stp/>
        <stp>##V3_BDPV12</stp>
        <stp>3BV5C 156 COMB Curncy</stp>
        <stp>IVOL_MID_RT</stp>
        <stp>[TCE.BB v1 10.12.2015 11.46.xlsm]GBP!R200C2</stp>
        <tr r="B200" s="63"/>
      </tp>
      <tp>
        <v>0.05</v>
        <stp/>
        <stp>##V3_BDPV12</stp>
        <stp>3BV5P 151.5 COMB Curncy</stp>
        <stp>ASK</stp>
        <stp>[TCE.BB v1 10.12.2015 11.46.xlsm]GBP!R28C26</stp>
        <tr r="Z28" s="63"/>
      </tp>
      <tp>
        <v>0.13</v>
        <stp/>
        <stp>##V3_BDPV12</stp>
        <stp>3BV5P 152.5 COMB Curncy</stp>
        <stp>BID</stp>
        <stp>[TCE.BB v1 10.12.2015 11.46.xlsm]GBP!R27C28</stp>
        <tr r="AB27" s="63"/>
      </tp>
      <tp>
        <v>12.312647999999999</v>
        <stp/>
        <stp>##V3_BDPV12</stp>
        <stp>3BV5P 149.5 COMB Curncy</stp>
        <stp>IVOL_MID_RT</stp>
        <stp>[TCE.BB v1 10.12.2015 11.46.xlsm]GBP!R16C22</stp>
        <tr r="V16" s="63"/>
      </tp>
      <tp>
        <v>0.16</v>
        <stp/>
        <stp>##V3_BDPV12</stp>
        <stp>3BV5P 152.5 COMB Curncy</stp>
        <stp>ASK</stp>
        <stp>[TCE.BB v1 10.12.2015 11.46.xlsm]GBP!R28C28</stp>
        <tr r="AB28" s="63"/>
      </tp>
      <tp>
        <v>0.03</v>
        <stp/>
        <stp>##V3_BDPV12</stp>
        <stp>3BV5P 151.5 COMB Curncy</stp>
        <stp>BID</stp>
        <stp>[TCE.BB v1 10.12.2015 11.46.xlsm]GBP!R27C26</stp>
        <tr r="Z27" s="63"/>
      </tp>
      <tp>
        <v>-1.1481E-2</v>
        <stp/>
        <stp>##V3_BDPV12</stp>
        <stp>3BV5P 148 COMB Curncy</stp>
        <stp>DELTA_MID_RT</stp>
        <stp>[TCE.BB v1 10.12.2015 11.46.xlsm]GBP!R165C19</stp>
        <tr r="S165" s="63"/>
      </tp>
      <tp>
        <v>8.7917769999999997</v>
        <stp/>
        <stp>##V3_BDPV12</stp>
        <stp>3BV5C 152 COMB Curncy</stp>
        <stp>IVOL_MID_RT</stp>
        <stp>[TCE.BB v1 10.12.2015 11.46.xlsm]GBP!R232C2</stp>
        <tr r="B232" s="63"/>
      </tp>
      <tp>
        <v>11.599807</v>
        <stp/>
        <stp>##V3_BDPV12</stp>
        <stp>3BV5C 157 COMB Curncy</stp>
        <stp>IVOL_MID_RT</stp>
        <stp>[TCE.BB v1 10.12.2015 11.46.xlsm]GBP!R192C2</stp>
        <tr r="B192" s="63"/>
      </tp>
      <tp>
        <v>17.241610999999999</v>
        <stp/>
        <stp>##V3_BDPV12</stp>
        <stp>3BV5C 147 COMB Curncy</stp>
        <stp>IVOL_MID_RT</stp>
        <stp>[TCE.BB v1 10.12.2015 11.46.xlsm]GBP!R272C2</stp>
        <tr r="B272" s="63"/>
      </tp>
      <tp>
        <v>17.241610999999999</v>
        <stp/>
        <stp>##V3_BDPV12</stp>
        <stp>3BV5C 147 COMB Curncy</stp>
        <stp>IVOL_MID_RT</stp>
        <stp>[TCE.BB v1 10.12.2015 11.46.xlsm]GBP!R122C2</stp>
        <tr r="B122" s="63"/>
      </tp>
      <tp>
        <v>0.48</v>
        <stp/>
        <stp>##V3_BDPV12</stp>
        <stp>3BV5P 153.5 COMB Curncy</stp>
        <stp>ASK</stp>
        <stp>[TCE.BB v1 10.12.2015 11.46.xlsm]GBP!R28C30</stp>
        <tr r="AD28" s="63"/>
      </tp>
      <tp t="s">
        <v>#N/A N/A</v>
        <stp/>
        <stp>##V3_BDPV12</stp>
        <stp>3BV5P 150.5 COMB Curncy</stp>
        <stp>BID</stp>
        <stp>[TCE.BB v1 10.12.2015 11.46.xlsm]GBP!R27C24</stp>
        <tr r="X27" s="63"/>
      </tp>
      <tp>
        <v>-1.3220000000000001E-2</v>
        <stp/>
        <stp>##V3_BDPV12</stp>
        <stp>3BV5P 149 COMB Curncy</stp>
        <stp>DELTA_MID_RT</stp>
        <stp>[TCE.BB v1 10.12.2015 11.46.xlsm]GBP!R165C21</stp>
        <tr r="U165" s="63"/>
      </tp>
      <tp>
        <v>1.17</v>
        <stp/>
        <stp>##V3_BDPV12</stp>
        <stp>3BV5P 154.5 COMB Curncy</stp>
        <stp>ASK</stp>
        <stp>[TCE.BB v1 10.12.2015 11.46.xlsm]GBP!R28C32</stp>
        <tr r="AF28" s="63"/>
      </tp>
      <tp t="s">
        <v>#N/A N/A</v>
        <stp/>
        <stp>##V3_BDPV12</stp>
        <stp>3BV5P 147.5 COMB Curncy</stp>
        <stp>BID</stp>
        <stp>[TCE.BB v1 10.12.2015 11.46.xlsm]GBP!R27C18</stp>
        <tr r="R27" s="63"/>
      </tp>
      <tp>
        <v>3.85</v>
        <stp/>
        <stp>##V3_BDPV12</stp>
        <stp>3BV5P 157.5 COMB Curncy</stp>
        <stp>BID</stp>
        <stp>[TCE.BB v1 10.12.2015 11.46.xlsm]GBP!R27C38</stp>
        <tr r="AL27" s="63"/>
      </tp>
      <tp>
        <v>1</v>
        <stp/>
        <stp>##V3_BDPV12</stp>
        <stp>3BV5C 150 COMB Curncy</stp>
        <stp>DELTA_MID_RT</stp>
        <stp>[TCE.BB v1 10.12.2015 11.46.xlsm]GBP!R248C1</stp>
        <tr r="A248" s="63"/>
      </tp>
      <tp>
        <v>0.143846</v>
        <stp/>
        <stp>##V3_BDPV12</stp>
        <stp>3BV5C 155 COMB Curncy</stp>
        <stp>DELTA_MID_RT</stp>
        <stp>[TCE.BB v1 10.12.2015 11.46.xlsm]GBP!R208C1</stp>
        <tr r="A208" s="63"/>
      </tp>
      <tp>
        <v>13.036985</v>
        <stp/>
        <stp>##V3_BDPV12</stp>
        <stp>3BV5C 158 COMB Curncy</stp>
        <stp>IVOL_MID_RT</stp>
        <stp>[TCE.BB v1 10.12.2015 11.46.xlsm]GBP!R184C2</stp>
        <tr r="B184" s="63"/>
      </tp>
      <tp>
        <v>8.2205220000000008</v>
        <stp/>
        <stp>##V3_BDPV12</stp>
        <stp>3BV5C 153 COMB Curncy</stp>
        <stp>IVOL_MID_RT</stp>
        <stp>[TCE.BB v1 10.12.2015 11.46.xlsm]GBP!R224C2</stp>
        <tr r="B224" s="63"/>
      </tp>
      <tp>
        <v>14.826978</v>
        <stp/>
        <stp>##V3_BDPV12</stp>
        <stp>3BV5C 148 COMB Curncy</stp>
        <stp>IVOL_MID_RT</stp>
        <stp>[TCE.BB v1 10.12.2015 11.46.xlsm]GBP!R114C2</stp>
        <tr r="B114" s="63"/>
      </tp>
      <tp>
        <v>14.826978</v>
        <stp/>
        <stp>##V3_BDPV12</stp>
        <stp>3BV5C 148 COMB Curncy</stp>
        <stp>IVOL_MID_RT</stp>
        <stp>[TCE.BB v1 10.12.2015 11.46.xlsm]GBP!R264C2</stp>
        <tr r="B264" s="63"/>
      </tp>
      <tp>
        <v>2.06</v>
        <stp/>
        <stp>##V3_BDPV12</stp>
        <stp>3BV5P 155.5 COMB Curncy</stp>
        <stp>ASK</stp>
        <stp>[TCE.BB v1 10.12.2015 11.46.xlsm]GBP!R28C34</stp>
        <tr r="AH28" s="63"/>
      </tp>
      <tp>
        <v>2.87</v>
        <stp/>
        <stp>##V3_BDPV12</stp>
        <stp>3BV5P 156.5 COMB Curncy</stp>
        <stp>BID</stp>
        <stp>[TCE.BB v1 10.12.2015 11.46.xlsm]GBP!R27C36</stp>
        <tr r="AJ27" s="63"/>
      </tp>
    </main>
    <main first="bloomberg.rtd">
      <tp>
        <v>3.03</v>
        <stp/>
        <stp>##V3_BDPV12</stp>
        <stp>3BV5P 156.5 COMB Curncy</stp>
        <stp>ASK</stp>
        <stp>[TCE.BB v1 10.12.2015 11.46.xlsm]GBP!R28C36</stp>
        <tr r="AJ28" s="63"/>
      </tp>
      <tp>
        <v>1.91</v>
        <stp/>
        <stp>##V3_BDPV12</stp>
        <stp>3BV5P 155.5 COMB Curncy</stp>
        <stp>BID</stp>
        <stp>[TCE.BB v1 10.12.2015 11.46.xlsm]GBP!R27C34</stp>
        <tr r="AH27" s="63"/>
      </tp>
      <tp>
        <v>8.2223900000000008</v>
        <stp/>
        <stp>##V3_BDPV12</stp>
        <stp>3BV5C 154 COMB Curncy</stp>
        <stp>IVOL_MID_RT</stp>
        <stp>[TCE.BB v1 10.12.2015 11.46.xlsm]GBP!R216C2</stp>
        <tr r="B216" s="63"/>
      </tp>
      <tp>
        <v>12.455190999999999</v>
        <stp/>
        <stp>##V3_BDPV12</stp>
        <stp>3BV5C 149 COMB Curncy</stp>
        <stp>IVOL_MID_RT</stp>
        <stp>[TCE.BB v1 10.12.2015 11.46.xlsm]GBP!R106C2</stp>
        <tr r="B106" s="63"/>
      </tp>
      <tp>
        <v>12.455190999999999</v>
        <stp/>
        <stp>##V3_BDPV12</stp>
        <stp>3BV5C 149 COMB Curncy</stp>
        <stp>IVOL_MID_RT</stp>
        <stp>[TCE.BB v1 10.12.2015 11.46.xlsm]GBP!R256C2</stp>
        <tr r="B256" s="63"/>
      </tp>
      <tp>
        <v>4.0199999999999996</v>
        <stp/>
        <stp>##V3_BDPV12</stp>
        <stp>3BV5P 157.5 COMB Curncy</stp>
        <stp>ASK</stp>
        <stp>[TCE.BB v1 10.12.2015 11.46.xlsm]GBP!R28C38</stp>
        <tr r="AL28" s="63"/>
      </tp>
      <tp>
        <v>0.01</v>
        <stp/>
        <stp>##V3_BDPV12</stp>
        <stp>3BV5P 147.5 COMB Curncy</stp>
        <stp>ASK</stp>
        <stp>[TCE.BB v1 10.12.2015 11.46.xlsm]GBP!R28C18</stp>
        <tr r="R28" s="63"/>
      </tp>
      <tp>
        <v>1.04</v>
        <stp/>
        <stp>##V3_BDPV12</stp>
        <stp>3BV5P 154.5 COMB Curncy</stp>
        <stp>BID</stp>
        <stp>[TCE.BB v1 10.12.2015 11.46.xlsm]GBP!R27C32</stp>
        <tr r="AF27" s="63"/>
      </tp>
      <tp>
        <v>1</v>
        <stp/>
        <stp>##V3_BDPV12</stp>
        <stp>3BV5C 148 COMB Curncy</stp>
        <stp>DELTA_MID_RT</stp>
        <stp>[TCE.BB v1 10.12.2015 11.46.xlsm]GBP!R114C1</stp>
        <tr r="A114" s="63"/>
      </tp>
      <tp>
        <v>1</v>
        <stp/>
        <stp>##V3_BDPV12</stp>
        <stp>3BV5C 148 COMB Curncy</stp>
        <stp>DELTA_MID_RT</stp>
        <stp>[TCE.BB v1 10.12.2015 11.46.xlsm]GBP!R264C1</stp>
        <tr r="A264" s="63"/>
      </tp>
    </main>
    <main first="bloomberg.rtd">
      <tp>
        <v>0.01</v>
        <stp/>
        <stp>##V3_BDPV12</stp>
        <stp>3BV5P 148.5 COMB Curncy</stp>
        <stp>ASK</stp>
        <stp>[TCE.BB v1 10.12.2015 11.46.xlsm]GBP!R28C20</stp>
        <tr r="T28" s="63"/>
      </tp>
      <tp>
        <v>10.82128</v>
        <stp/>
        <stp>##V3_BDPV12</stp>
        <stp>3BV5P 150.5 COMB Curncy</stp>
        <stp>IVOL_MID_RT</stp>
        <stp>[TCE.BB v1 10.12.2015 11.46.xlsm]GBP!R16C24</stp>
        <tr r="X16" s="63"/>
      </tp>
      <tp>
        <v>-0.112386</v>
        <stp/>
        <stp>##V3_BDPV12</stp>
        <stp>3BV5P 152 COMB Curncy</stp>
        <stp>DELTA_MID_RT</stp>
        <stp>[TCE.BB v1 10.12.2015 11.46.xlsm]GBP!R165C27</stp>
        <tr r="AA165" s="63"/>
      </tp>
      <tp>
        <v>1.3762999999999999E-2</v>
        <stp/>
        <stp>##V3_BDPV12</stp>
        <stp>3BV5C 158 COMB Curncy</stp>
        <stp>DELTA_MID_RT</stp>
        <stp>[TCE.BB v1 10.12.2015 11.46.xlsm]GBP!R184C1</stp>
        <tr r="A184" s="63"/>
      </tp>
      <tp>
        <v>0.67532000000000003</v>
        <stp/>
        <stp>##V3_BDPV12</stp>
        <stp>3BV5C 153 COMB Curncy</stp>
        <stp>DELTA_MID_RT</stp>
        <stp>[TCE.BB v1 10.12.2015 11.46.xlsm]GBP!R224C1</stp>
        <tr r="A224" s="63"/>
      </tp>
      <tp>
        <v>10.924092</v>
        <stp/>
        <stp>##V3_BDPV12</stp>
        <stp>3BV5C 150 COMB Curncy</stp>
        <stp>IVOL_MID_RT</stp>
        <stp>[TCE.BB v1 10.12.2015 11.46.xlsm]GBP!R248C2</stp>
        <tr r="B248" s="63"/>
      </tp>
      <tp>
        <v>8.8325370000000003</v>
        <stp/>
        <stp>##V3_BDPV12</stp>
        <stp>3BV5C 155 COMB Curncy</stp>
        <stp>IVOL_MID_RT</stp>
        <stp>[TCE.BB v1 10.12.2015 11.46.xlsm]GBP!R208C2</stp>
        <tr r="B208" s="63"/>
      </tp>
      <tp>
        <v>0.01</v>
        <stp/>
        <stp>##V3_BDPV12</stp>
        <stp>3BV5P 149.5 COMB Curncy</stp>
        <stp>ASK</stp>
        <stp>[TCE.BB v1 10.12.2015 11.46.xlsm]GBP!R28C22</stp>
        <tr r="V28" s="63"/>
      </tp>
      <tp>
        <v>9.0471120000000003</v>
        <stp/>
        <stp>##V3_BDPV12</stp>
        <stp>3BV5P 151.5 COMB Curncy</stp>
        <stp>IVOL_MID_RT</stp>
        <stp>[TCE.BB v1 10.12.2015 11.46.xlsm]GBP!R16C26</stp>
        <tr r="Z16" s="63"/>
      </tp>
      <tp>
        <v>-0.326345</v>
        <stp/>
        <stp>##V3_BDPV12</stp>
        <stp>3BV5P 153 COMB Curncy</stp>
        <stp>DELTA_MID_RT</stp>
        <stp>[TCE.BB v1 10.12.2015 11.46.xlsm]GBP!R165C29</stp>
        <tr r="AC165" s="63"/>
      </tp>
      <tp>
        <v>0.99210900000000002</v>
        <stp/>
        <stp>##V3_BDPV12</stp>
        <stp>3BV5C 149 COMB Curncy</stp>
        <stp>DELTA_MID_RT</stp>
        <stp>[TCE.BB v1 10.12.2015 11.46.xlsm]GBP!R106C1</stp>
        <tr r="A106" s="63"/>
      </tp>
      <tp>
        <v>0.99210900000000002</v>
        <stp/>
        <stp>##V3_BDPV12</stp>
        <stp>3BV5C 149 COMB Curncy</stp>
        <stp>DELTA_MID_RT</stp>
        <stp>[TCE.BB v1 10.12.2015 11.46.xlsm]GBP!R256C1</stp>
        <tr r="A256" s="63"/>
      </tp>
      <tp t="s">
        <v>#N/A N/A</v>
        <stp/>
        <stp>##V3_BDPV12</stp>
        <stp>3BV5P 149.5 COMB Curncy</stp>
        <stp>BID</stp>
        <stp>[TCE.BB v1 10.12.2015 11.46.xlsm]GBP!R27C22</stp>
        <tr r="V27" s="63"/>
      </tp>
      <tp>
        <v>8.2095780000000005</v>
        <stp/>
        <stp>##V3_BDPV12</stp>
        <stp>3BV5P 152.5 COMB Curncy</stp>
        <stp>IVOL_MID_RT</stp>
        <stp>[TCE.BB v1 10.12.2015 11.46.xlsm]GBP!R16C28</stp>
        <tr r="AB16" s="63"/>
      </tp>
      <tp>
        <v>-2.6964999999999999E-2</v>
        <stp/>
        <stp>##V3_BDPV12</stp>
        <stp>3BV5P 150 COMB Curncy</stp>
        <stp>DELTA_MID_RT</stp>
        <stp>[TCE.BB v1 10.12.2015 11.46.xlsm]GBP!R165C23</stp>
        <tr r="W165" s="63"/>
      </tp>
      <tp>
        <v>0.368892</v>
        <stp/>
        <stp>##V3_BDPV12</stp>
        <stp>3BV5C 154 COMB Curncy</stp>
        <stp>DELTA_MID_RT</stp>
        <stp>[TCE.BB v1 10.12.2015 11.46.xlsm]GBP!R216C1</stp>
        <tr r="A216" s="63"/>
      </tp>
    </main>
    <main first="bloomberg.rtd">
      <tp t="s">
        <v>#N/A N/A</v>
        <stp/>
        <stp>##V3_BDPV12</stp>
        <stp>3BV5P 148.5 COMB Curncy</stp>
        <stp>BID</stp>
        <stp>[TCE.BB v1 10.12.2015 11.46.xlsm]GBP!R27C20</stp>
        <tr r="T27" s="63"/>
      </tp>
      <tp>
        <v>8.0394509999999997</v>
        <stp/>
        <stp>##V3_BDPV12</stp>
        <stp>3BV5P 153.5 COMB Curncy</stp>
        <stp>IVOL_MID_RT</stp>
        <stp>[TCE.BB v1 10.12.2015 11.46.xlsm]GBP!R16C30</stp>
        <tr r="AD16" s="63"/>
      </tp>
      <tp>
        <v>-2.0355000000000002E-2</v>
        <stp/>
        <stp>##V3_BDPV12</stp>
        <stp>3BV5P 151 COMB Curncy</stp>
        <stp>DELTA_MID_RT</stp>
        <stp>[TCE.BB v1 10.12.2015 11.46.xlsm]GBP!R165C25</stp>
        <tr r="Y165" s="63"/>
      </tp>
      <tp>
        <v>8.4420249999999992</v>
        <stp/>
        <stp>##V3_BDPV12</stp>
        <stp>3BV5P 154.5 COMB Curncy</stp>
        <stp>IVOL_MID_RT</stp>
        <stp>[TCE.BB v1 10.12.2015 11.46.xlsm]GBP!R16C32</stp>
        <tr r="AF16" s="63"/>
      </tp>
    </main>
    <main first="bloomberg.rtd">
      <tp>
        <v>-0.93950500000000003</v>
        <stp/>
        <stp>##V3_BDPV12</stp>
        <stp>3BV5P 156 COMB Curncy</stp>
        <stp>DELTA_MID_RT</stp>
        <stp>[TCE.BB v1 10.12.2015 11.46.xlsm]GBP!R165C35</stp>
        <tr r="AI165" s="63"/>
      </tp>
      <tp>
        <v>0.97915099999999999</v>
        <stp/>
        <stp>##V3_BDPV12</stp>
        <stp>3BV5C 151 COMB Curncy</stp>
        <stp>DELTA_MID_RT</stp>
        <stp>[TCE.BB v1 10.12.2015 11.46.xlsm]GBP!R240C1</stp>
        <tr r="A240" s="63"/>
      </tp>
      <tp>
        <v>4.9792999999999997E-2</v>
        <stp/>
        <stp>##V3_BDPV12</stp>
        <stp>3BV5C 156 COMB Curncy</stp>
        <stp>DELTA_MID_RT</stp>
        <stp>[TCE.BB v1 10.12.2015 11.46.xlsm]GBP!R200C1</stp>
        <tr r="A200" s="63"/>
      </tp>
      <tp>
        <v>9.4401259999999994</v>
        <stp/>
        <stp>##V3_BDPV12</stp>
        <stp>3BV5P 155.5 COMB Curncy</stp>
        <stp>IVOL_MID_RT</stp>
        <stp>[TCE.BB v1 10.12.2015 11.46.xlsm]GBP!R16C34</stp>
        <tr r="AH16" s="63"/>
      </tp>
      <tp>
        <v>-1.0019999999999999E-2</v>
        <stp/>
        <stp>##V3_BDPV12</stp>
        <stp>3BV5P 147 COMB Curncy</stp>
        <stp>DELTA_MID_RT</stp>
        <stp>[TCE.BB v1 10.12.2015 11.46.xlsm]GBP!R165C17</stp>
        <tr r="Q165" s="63"/>
      </tp>
      <tp>
        <v>-0.97126500000000004</v>
        <stp/>
        <stp>##V3_BDPV12</stp>
        <stp>3BV5P 157 COMB Curncy</stp>
        <stp>DELTA_MID_RT</stp>
        <stp>[TCE.BB v1 10.12.2015 11.46.xlsm]GBP!R165C37</stp>
        <tr r="AK165" s="63"/>
      </tp>
      <tp>
        <v>1</v>
        <stp/>
        <stp>##V3_BDPV12</stp>
        <stp>3BV5C 147 COMB Curncy</stp>
        <stp>DELTA_MID_RT</stp>
        <stp>[TCE.BB v1 10.12.2015 11.46.xlsm]GBP!R122C1</stp>
        <tr r="A122" s="63"/>
      </tp>
      <tp>
        <v>1</v>
        <stp/>
        <stp>##V3_BDPV12</stp>
        <stp>3BV5C 147 COMB Curncy</stp>
        <stp>DELTA_MID_RT</stp>
        <stp>[TCE.BB v1 10.12.2015 11.46.xlsm]GBP!R272C1</stp>
        <tr r="A272" s="63"/>
      </tp>
      <tp>
        <v>10.945448000000001</v>
        <stp/>
        <stp>##V3_BDPV12</stp>
        <stp>3BV5P 156.5 COMB Curncy</stp>
        <stp>IVOL_MID_RT</stp>
        <stp>[TCE.BB v1 10.12.2015 11.46.xlsm]GBP!R16C36</stp>
        <tr r="AJ16" s="63"/>
      </tp>
      <tp>
        <v>-0.62644500000000003</v>
        <stp/>
        <stp>##V3_BDPV12</stp>
        <stp>3BV5P 154 COMB Curncy</stp>
        <stp>DELTA_MID_RT</stp>
        <stp>[TCE.BB v1 10.12.2015 11.46.xlsm]GBP!R165C31</stp>
        <tr r="AE165" s="63"/>
      </tp>
      <tp>
        <v>0.88027599999999995</v>
        <stp/>
        <stp>##V3_BDPV12</stp>
        <stp>3BV5C 152 COMB Curncy</stp>
        <stp>DELTA_MID_RT</stp>
        <stp>[TCE.BB v1 10.12.2015 11.46.xlsm]GBP!R232C1</stp>
        <tr r="A232" s="63"/>
      </tp>
      <tp>
        <v>2.8662E-2</v>
        <stp/>
        <stp>##V3_BDPV12</stp>
        <stp>3BV5C 157 COMB Curncy</stp>
        <stp>DELTA_MID_RT</stp>
        <stp>[TCE.BB v1 10.12.2015 11.46.xlsm]GBP!R192C1</stp>
        <tr r="A192" s="63"/>
      </tp>
      <tp>
        <v>17.52627</v>
        <stp/>
        <stp>##V3_BDPV12</stp>
        <stp>3BV5P 147.5 COMB Curncy</stp>
        <stp>IVOL_MID_RT</stp>
        <stp>[TCE.BB v1 10.12.2015 11.46.xlsm]GBP!R16C18</stp>
        <tr r="R16" s="63"/>
      </tp>
      <tp>
        <v>12.332660000000001</v>
        <stp/>
        <stp>##V3_BDPV12</stp>
        <stp>3BV5P 157.5 COMB Curncy</stp>
        <stp>IVOL_MID_RT</stp>
        <stp>[TCE.BB v1 10.12.2015 11.46.xlsm]GBP!R16C38</stp>
        <tr r="AL16" s="63"/>
      </tp>
      <tp>
        <v>-0.85905900000000002</v>
        <stp/>
        <stp>##V3_BDPV12</stp>
        <stp>3BV5P 155 COMB Curncy</stp>
        <stp>DELTA_MID_RT</stp>
        <stp>[TCE.BB v1 10.12.2015 11.46.xlsm]GBP!R165C33</stp>
        <tr r="AG165" s="63"/>
      </tp>
    </main>
    <main first="bloomberg.rtd">
      <tp>
        <v>2.5523000000000001E-2</v>
        <stp/>
        <stp>##V3_BDPV12</stp>
        <stp>3BV5C 157.5 COMB Curncy</stp>
        <stp>DELTA_MID_RT</stp>
        <stp>[TCE.BB v1 10.12.2015 11.46.xlsm]GBP!R38C1</stp>
        <tr r="A38" s="63"/>
      </tp>
      <tp t="s">
        <v>#N/A N/A</v>
        <stp/>
        <stp>##V3_BDPV12</stp>
        <stp>3BV5P 147.5 COMB Curncy</stp>
        <stp>BID</stp>
        <stp>[TCE.BB v1 10.12.2015 11.46.xlsm]GBP!R177C18</stp>
        <tr r="R177" s="63"/>
      </tp>
      <tp t="s">
        <v>#N/A N/A</v>
        <stp/>
        <stp>##V3_BDPV12</stp>
        <stp>3BV5C 157.5 COMB Curncy</stp>
        <stp>BID</stp>
        <stp>[TCE.BB v1 10.12.2015 11.46.xlsm]GBP!R189C13</stp>
        <tr r="M189" s="63"/>
      </tp>
      <tp>
        <v>0.01</v>
        <stp/>
        <stp>##V3_BDPV12</stp>
        <stp>3BV5C 156.5 COMB Curncy</stp>
        <stp>BID</stp>
        <stp>[TCE.BB v1 10.12.2015 11.46.xlsm]GBP!R197C13</stp>
        <tr r="M197" s="63"/>
      </tp>
      <tp>
        <v>4.99</v>
        <stp/>
        <stp>##V3_BDPV12</stp>
        <stp>3BV5C 148.5 COMB Curncy</stp>
        <stp>BID</stp>
        <stp>[TCE.BB v1 10.12.2015 11.46.xlsm]GBP!R111C13</stp>
        <tr r="M111" s="63"/>
      </tp>
      <tp>
        <v>5.99</v>
        <stp/>
        <stp>##V3_BDPV12</stp>
        <stp>3BV5C 147.5 COMB Curncy</stp>
        <stp>BID</stp>
        <stp>[TCE.BB v1 10.12.2015 11.46.xlsm]GBP!R119C13</stp>
        <tr r="M119" s="63"/>
      </tp>
      <tp>
        <v>3.99</v>
        <stp/>
        <stp>##V3_BDPV12</stp>
        <stp>3BV5C 149.5 COMB Curncy</stp>
        <stp>BID</stp>
        <stp>[TCE.BB v1 10.12.2015 11.46.xlsm]GBP!R103C13</stp>
        <tr r="M103" s="63"/>
      </tp>
      <tp>
        <v>0.13</v>
        <stp/>
        <stp>##V3_BDPV12</stp>
        <stp>3BV5P 152.5 COMB Curncy</stp>
        <stp>BID</stp>
        <stp>[TCE.BB v1 10.12.2015 11.46.xlsm]GBP!R177C28</stp>
        <tr r="AB177" s="63"/>
      </tp>
      <tp t="s">
        <v>#N/A N/A</v>
        <stp/>
        <stp>##V3_BDPV12</stp>
        <stp>3BV5P 149.5 COMB Curncy</stp>
        <stp>BID</stp>
        <stp>[TCE.BB v1 10.12.2015 11.46.xlsm]GBP!R177C22</stp>
        <tr r="V177" s="63"/>
      </tp>
      <tp>
        <v>4.99</v>
        <stp/>
        <stp>##V3_BDPV12</stp>
        <stp>3BV5C 148.5 COMB Curncy</stp>
        <stp>BID</stp>
        <stp>[TCE.BB v1 10.12.2015 11.46.xlsm]GBP!R261C13</stp>
        <tr r="M261" s="63"/>
      </tp>
      <tp>
        <v>5.99</v>
        <stp/>
        <stp>##V3_BDPV12</stp>
        <stp>3BV5C 147.5 COMB Curncy</stp>
        <stp>BID</stp>
        <stp>[TCE.BB v1 10.12.2015 11.46.xlsm]GBP!R269C13</stp>
        <tr r="M269" s="63"/>
      </tp>
      <tp>
        <v>3</v>
        <stp/>
        <stp>##V3_BDPV12</stp>
        <stp>3BV5C 150.5 COMB Curncy</stp>
        <stp>BID</stp>
        <stp>[TCE.BB v1 10.12.2015 11.46.xlsm]GBP!R245C13</stp>
        <tr r="M245" s="63"/>
      </tp>
      <tp>
        <v>3.99</v>
        <stp/>
        <stp>##V3_BDPV12</stp>
        <stp>3BV5C 149.5 COMB Curncy</stp>
        <stp>BID</stp>
        <stp>[TCE.BB v1 10.12.2015 11.46.xlsm]GBP!R253C13</stp>
        <tr r="M253" s="63"/>
      </tp>
      <tp t="s">
        <v>#N/A N/A</v>
        <stp/>
        <stp>##V3_BDPV12</stp>
        <stp>3BV5P 148.5 COMB Curncy</stp>
        <stp>BID</stp>
        <stp>[TCE.BB v1 10.12.2015 11.46.xlsm]GBP!R177C20</stp>
        <tr r="T177" s="63"/>
      </tp>
      <tp>
        <v>0.03</v>
        <stp/>
        <stp>##V3_BDPV12</stp>
        <stp>3BV5P 151.5 COMB Curncy</stp>
        <stp>BID</stp>
        <stp>[TCE.BB v1 10.12.2015 11.46.xlsm]GBP!R177C26</stp>
        <tr r="Z177" s="63"/>
      </tp>
      <tp>
        <v>0.52</v>
        <stp/>
        <stp>##V3_BDPV12</stp>
        <stp>3BV5C 153.5 COMB Curncy</stp>
        <stp>BID</stp>
        <stp>[TCE.BB v1 10.12.2015 11.46.xlsm]GBP!R221C13</stp>
        <tr r="M221" s="63"/>
      </tp>
      <tp>
        <v>1.17</v>
        <stp/>
        <stp>##V3_BDPV12</stp>
        <stp>3BV5C 152.5 COMB Curncy</stp>
        <stp>BID</stp>
        <stp>[TCE.BB v1 10.12.2015 11.46.xlsm]GBP!R229C13</stp>
        <tr r="M229" s="63"/>
      </tp>
      <tp>
        <v>2.0499999999999998</v>
        <stp/>
        <stp>##V3_BDPV12</stp>
        <stp>3BV5C 151.5 COMB Curncy</stp>
        <stp>BID</stp>
        <stp>[TCE.BB v1 10.12.2015 11.46.xlsm]GBP!R237C13</stp>
        <tr r="M237" s="63"/>
      </tp>
      <tp t="s">
        <v>#N/A N/A</v>
        <stp/>
        <stp>##V3_BDPV12</stp>
        <stp>3BV5P 150.5 COMB Curncy</stp>
        <stp>BID</stp>
        <stp>[TCE.BB v1 10.12.2015 11.46.xlsm]GBP!R177C24</stp>
        <tr r="X177" s="63"/>
      </tp>
      <tp>
        <v>0.05</v>
        <stp/>
        <stp>##V3_BDPV12</stp>
        <stp>3BV5C 155.5 COMB Curncy</stp>
        <stp>BID</stp>
        <stp>[TCE.BB v1 10.12.2015 11.46.xlsm]GBP!R205C13</stp>
        <tr r="M205" s="63"/>
      </tp>
      <tp>
        <v>0.17</v>
        <stp/>
        <stp>##V3_BDPV12</stp>
        <stp>3BV5C 154.5 COMB Curncy</stp>
        <stp>BID</stp>
        <stp>[TCE.BB v1 10.12.2015 11.46.xlsm]GBP!R213C13</stp>
        <tr r="M213" s="63"/>
      </tp>
      <tp>
        <v>3.85</v>
        <stp/>
        <stp>##V3_BDPV12</stp>
        <stp>3BV5P 157.5 COMB Curncy</stp>
        <stp>BID</stp>
        <stp>[TCE.BB v1 10.12.2015 11.46.xlsm]GBP!R177C38</stp>
        <tr r="AL177" s="63"/>
      </tp>
      <tp>
        <v>1.04</v>
        <stp/>
        <stp>##V3_BDPV12</stp>
        <stp>3BV5P 154.5 COMB Curncy</stp>
        <stp>BID</stp>
        <stp>[TCE.BB v1 10.12.2015 11.46.xlsm]GBP!R177C32</stp>
        <tr r="AF177" s="63"/>
      </tp>
      <tp>
        <v>0.45</v>
        <stp/>
        <stp>##V3_BDPV12</stp>
        <stp>3BV5P 153.5 COMB Curncy</stp>
        <stp>BID</stp>
        <stp>[TCE.BB v1 10.12.2015 11.46.xlsm]GBP!R177C30</stp>
        <tr r="AD177" s="63"/>
      </tp>
      <tp>
        <v>2.87</v>
        <stp/>
        <stp>##V3_BDPV12</stp>
        <stp>3BV5P 156.5 COMB Curncy</stp>
        <stp>BID</stp>
        <stp>[TCE.BB v1 10.12.2015 11.46.xlsm]GBP!R177C36</stp>
        <tr r="AJ177" s="63"/>
      </tp>
      <tp>
        <v>1.91</v>
        <stp/>
        <stp>##V3_BDPV12</stp>
        <stp>3BV5P 155.5 COMB Curncy</stp>
        <stp>BID</stp>
        <stp>[TCE.BB v1 10.12.2015 11.46.xlsm]GBP!R177C34</stp>
        <tr r="AH177" s="63"/>
      </tp>
      <tp>
        <v>8.2095780000000005</v>
        <stp/>
        <stp>##V3_BDPV12</stp>
        <stp>3BV5P 152.5 COMB Curncy</stp>
        <stp>IVOL_MID_RT</stp>
        <stp>[TCE.BB v1 10.12.2015 11.46.xlsm]GBP!R166C28</stp>
        <tr r="AB166" s="63"/>
      </tp>
      <tp>
        <v>12.312647999999999</v>
        <stp/>
        <stp>##V3_BDPV12</stp>
        <stp>3BV5P 149.5 COMB Curncy</stp>
        <stp>IVOL_MID_RT</stp>
        <stp>[TCE.BB v1 10.12.2015 11.46.xlsm]GBP!R166C22</stp>
        <tr r="V166" s="63"/>
      </tp>
      <tp>
        <v>14.945694</v>
        <stp/>
        <stp>##V3_BDPV12</stp>
        <stp>3BV5P 148.5 COMB Curncy</stp>
        <stp>IVOL_MID_RT</stp>
        <stp>[TCE.BB v1 10.12.2015 11.46.xlsm]GBP!R166C20</stp>
        <tr r="T166" s="63"/>
      </tp>
      <tp>
        <v>9.0471120000000003</v>
        <stp/>
        <stp>##V3_BDPV12</stp>
        <stp>3BV5P 151.5 COMB Curncy</stp>
        <stp>IVOL_MID_RT</stp>
        <stp>[TCE.BB v1 10.12.2015 11.46.xlsm]GBP!R166C26</stp>
        <tr r="Z166" s="63"/>
      </tp>
      <tp>
        <v>10.82128</v>
        <stp/>
        <stp>##V3_BDPV12</stp>
        <stp>3BV5P 150.5 COMB Curncy</stp>
        <stp>IVOL_MID_RT</stp>
        <stp>[TCE.BB v1 10.12.2015 11.46.xlsm]GBP!R166C24</stp>
        <tr r="X166" s="63"/>
      </tp>
      <tp>
        <v>12.332660000000001</v>
        <stp/>
        <stp>##V3_BDPV12</stp>
        <stp>3BV5P 157.5 COMB Curncy</stp>
        <stp>IVOL_MID_RT</stp>
        <stp>[TCE.BB v1 10.12.2015 11.46.xlsm]GBP!R166C38</stp>
        <tr r="AL166" s="63"/>
      </tp>
      <tp>
        <v>8.4420249999999992</v>
        <stp/>
        <stp>##V3_BDPV12</stp>
        <stp>3BV5P 154.5 COMB Curncy</stp>
        <stp>IVOL_MID_RT</stp>
        <stp>[TCE.BB v1 10.12.2015 11.46.xlsm]GBP!R166C32</stp>
        <tr r="AF166" s="63"/>
      </tp>
      <tp>
        <v>8.0394509999999997</v>
        <stp/>
        <stp>##V3_BDPV12</stp>
        <stp>3BV5P 153.5 COMB Curncy</stp>
        <stp>IVOL_MID_RT</stp>
        <stp>[TCE.BB v1 10.12.2015 11.46.xlsm]GBP!R166C30</stp>
        <tr r="AD166" s="63"/>
      </tp>
      <tp>
        <v>10.945448000000001</v>
        <stp/>
        <stp>##V3_BDPV12</stp>
        <stp>3BV5P 156.5 COMB Curncy</stp>
        <stp>IVOL_MID_RT</stp>
        <stp>[TCE.BB v1 10.12.2015 11.46.xlsm]GBP!R166C36</stp>
        <tr r="AJ166" s="63"/>
      </tp>
      <tp>
        <v>9.4401259999999994</v>
        <stp/>
        <stp>##V3_BDPV12</stp>
        <stp>3BV5P 155.5 COMB Curncy</stp>
        <stp>IVOL_MID_RT</stp>
        <stp>[TCE.BB v1 10.12.2015 11.46.xlsm]GBP!R166C34</stp>
        <tr r="AH166" s="63"/>
      </tp>
      <tp>
        <v>17.52627</v>
        <stp/>
        <stp>##V3_BDPV12</stp>
        <stp>3BV5P 147.5 COMB Curncy</stp>
        <stp>IVOL_MID_RT</stp>
        <stp>[TCE.BB v1 10.12.2015 11.46.xlsm]GBP!R166C18</stp>
        <tr r="R166" s="63"/>
      </tp>
      <tp>
        <v>0.79681500000000005</v>
        <stp/>
        <stp>##V3_BDPV12</stp>
        <stp>3BV5C 152.5 COMB Curncy</stp>
        <stp>DELTA_MID_RT</stp>
        <stp>[TCE.BB v1 10.12.2015 11.46.xlsm]GBP!R78C1</stp>
        <tr r="A78" s="63"/>
      </tp>
      <tp>
        <v>0.999892</v>
        <stp/>
        <stp>##V3_BDPV12</stp>
        <stp>3BV5C 150.5 COMB Curncy</stp>
        <stp>DELTA_MID_RT</stp>
        <stp>[TCE.BB v1 10.12.2015 11.46.xlsm]GBP!R94C1</stp>
        <tr r="A94" s="63"/>
      </tp>
      <tp>
        <v>0.93435900000000005</v>
        <stp/>
        <stp>##V3_BDPV12</stp>
        <stp>3BV5C 151.5 COMB Curncy</stp>
        <stp>DELTA_MID_RT</stp>
        <stp>[TCE.BB v1 10.12.2015 11.46.xlsm]GBP!R86C1</stp>
        <tr r="A86" s="63"/>
      </tp>
      <tp>
        <v>0.241787</v>
        <stp/>
        <stp>##V3_BDPV12</stp>
        <stp>3BV5C 154.5 COMB Curncy</stp>
        <stp>DELTA_MID_RT</stp>
        <stp>[TCE.BB v1 10.12.2015 11.46.xlsm]GBP!R62C1</stp>
        <tr r="A62" s="63"/>
      </tp>
      <tp>
        <v>0.08</v>
        <stp/>
        <stp>##V3_BDPV12</stp>
        <stp>3BV5P 152 COMB Curncy</stp>
        <stp>ASK</stp>
        <stp>[TCE.BB v1 10.12.2015 11.46.xlsm]GBP!R178C27</stp>
        <tr r="AA178" s="63"/>
      </tp>
      <tp>
        <v>0.28999999999999998</v>
        <stp/>
        <stp>##V3_BDPV12</stp>
        <stp>3BV5P 153 COMB Curncy</stp>
        <stp>ASK</stp>
        <stp>[TCE.BB v1 10.12.2015 11.46.xlsm]GBP!R178C29</stp>
        <tr r="AC178" s="63"/>
      </tp>
      <tp>
        <v>0.02</v>
        <stp/>
        <stp>##V3_BDPV12</stp>
        <stp>3BV5P 150 COMB Curncy</stp>
        <stp>ASK</stp>
        <stp>[TCE.BB v1 10.12.2015 11.46.xlsm]GBP!R178C23</stp>
        <tr r="W178" s="63"/>
      </tp>
      <tp>
        <v>0.03</v>
        <stp/>
        <stp>##V3_BDPV12</stp>
        <stp>3BV5P 151 COMB Curncy</stp>
        <stp>ASK</stp>
        <stp>[TCE.BB v1 10.12.2015 11.46.xlsm]GBP!R178C25</stp>
        <tr r="Y178" s="63"/>
      </tp>
      <tp>
        <v>3.52</v>
        <stp/>
        <stp>##V3_BDPV12</stp>
        <stp>3BV5P 157 COMB Curncy</stp>
        <stp>ASK</stp>
        <stp>[TCE.BB v1 10.12.2015 11.46.xlsm]GBP!R178C37</stp>
        <tr r="AK178" s="63"/>
      </tp>
      <tp>
        <v>2.54</v>
        <stp/>
        <stp>##V3_BDPV12</stp>
        <stp>3BV5P 156 COMB Curncy</stp>
        <stp>ASK</stp>
        <stp>[TCE.BB v1 10.12.2015 11.46.xlsm]GBP!R178C35</stp>
        <tr r="AI178" s="63"/>
      </tp>
      <tp>
        <v>1.6</v>
        <stp/>
        <stp>##V3_BDPV12</stp>
        <stp>3BV5P 155 COMB Curncy</stp>
        <stp>ASK</stp>
        <stp>[TCE.BB v1 10.12.2015 11.46.xlsm]GBP!R178C33</stp>
        <tr r="AG178" s="63"/>
      </tp>
      <tp>
        <v>0.78</v>
        <stp/>
        <stp>##V3_BDPV12</stp>
        <stp>3BV5P 154 COMB Curncy</stp>
        <stp>ASK</stp>
        <stp>[TCE.BB v1 10.12.2015 11.46.xlsm]GBP!R178C31</stp>
        <tr r="AE178" s="63"/>
      </tp>
      <tp>
        <v>2.67</v>
        <stp/>
        <stp>##V3_BDPV12</stp>
        <stp>3BV5C 151 COMB Curncy</stp>
        <stp>ASK</stp>
        <stp>[TCE.BB v1 10.12.2015 11.46.xlsm]GBP!R242C13</stp>
        <tr r="M242" s="63"/>
      </tp>
      <tp>
        <v>3.66</v>
        <stp/>
        <stp>##V3_BDPV12</stp>
        <stp>3BV5C 150 COMB Curncy</stp>
        <stp>ASK</stp>
        <stp>[TCE.BB v1 10.12.2015 11.46.xlsm]GBP!R250C13</stp>
        <tr r="M250" s="63"/>
      </tp>
      <tp>
        <v>0.9</v>
        <stp/>
        <stp>##V3_BDPV12</stp>
        <stp>3BV5C 153 COMB Curncy</stp>
        <stp>ASK</stp>
        <stp>[TCE.BB v1 10.12.2015 11.46.xlsm]GBP!R226C13</stp>
        <tr r="M226" s="63"/>
      </tp>
      <tp>
        <v>3.66</v>
        <stp/>
        <stp>##V3_BDPV12</stp>
        <stp>3BV5C 150 COMB Curncy</stp>
        <stp>ASK</stp>
        <stp>[TCE.BB v1 10.12.2015 11.46.xlsm]GBP!R100C13</stp>
        <tr r="M100" s="63"/>
      </tp>
      <tp>
        <v>1.73</v>
        <stp/>
        <stp>##V3_BDPV12</stp>
        <stp>3BV5C 152 COMB Curncy</stp>
        <stp>ASK</stp>
        <stp>[TCE.BB v1 10.12.2015 11.46.xlsm]GBP!R234C13</stp>
        <tr r="M234" s="63"/>
      </tp>
      <tp>
        <v>0.11</v>
        <stp/>
        <stp>##V3_BDPV12</stp>
        <stp>3BV5C 155 COMB Curncy</stp>
        <stp>ASK</stp>
        <stp>[TCE.BB v1 10.12.2015 11.46.xlsm]GBP!R210C13</stp>
        <tr r="M210" s="63"/>
      </tp>
      <tp>
        <v>0.33</v>
        <stp/>
        <stp>##V3_BDPV12</stp>
        <stp>3BV5C 154 COMB Curncy</stp>
        <stp>ASK</stp>
        <stp>[TCE.BB v1 10.12.2015 11.46.xlsm]GBP!R218C13</stp>
        <tr r="M218" s="63"/>
      </tp>
      <tp>
        <v>0.02</v>
        <stp/>
        <stp>##V3_BDPV12</stp>
        <stp>3BV5C 157 COMB Curncy</stp>
        <stp>ASK</stp>
        <stp>[TCE.BB v1 10.12.2015 11.46.xlsm]GBP!R194C13</stp>
        <tr r="M194" s="63"/>
      </tp>
      <tp>
        <v>0.04</v>
        <stp/>
        <stp>##V3_BDPV12</stp>
        <stp>3BV5C 156 COMB Curncy</stp>
        <stp>ASK</stp>
        <stp>[TCE.BB v1 10.12.2015 11.46.xlsm]GBP!R202C13</stp>
        <tr r="M202" s="63"/>
      </tp>
      <tp>
        <v>0.01</v>
        <stp/>
        <stp>##V3_BDPV12</stp>
        <stp>3BV5C 158 COMB Curncy</stp>
        <stp>ASK</stp>
        <stp>[TCE.BB v1 10.12.2015 11.46.xlsm]GBP!R186C13</stp>
        <tr r="M186" s="63"/>
      </tp>
      <tp>
        <v>9.0702000000000005E-2</v>
        <stp/>
        <stp>##V3_BDPV12</stp>
        <stp>3BV5C 155.5 COMB Curncy</stp>
        <stp>DELTA_MID_RT</stp>
        <stp>[TCE.BB v1 10.12.2015 11.46.xlsm]GBP!R54C1</stp>
        <tr r="A54" s="63"/>
      </tp>
      <tp>
        <v>0.01</v>
        <stp/>
        <stp>##V3_BDPV12</stp>
        <stp>3BV5P 147 COMB Curncy</stp>
        <stp>ASK</stp>
        <stp>[TCE.BB v1 10.12.2015 11.46.xlsm]GBP!R178C17</stp>
        <tr r="Q178" s="63"/>
      </tp>
      <tp>
        <v>0.01</v>
        <stp/>
        <stp>##V3_BDPV12</stp>
        <stp>3BV5P 148 COMB Curncy</stp>
        <stp>ASK</stp>
        <stp>[TCE.BB v1 10.12.2015 11.46.xlsm]GBP!R178C19</stp>
        <tr r="S178" s="63"/>
      </tp>
      <tp>
        <v>0.01</v>
        <stp/>
        <stp>##V3_BDPV12</stp>
        <stp>3BV5P 149 COMB Curncy</stp>
        <stp>ASK</stp>
        <stp>[TCE.BB v1 10.12.2015 11.46.xlsm]GBP!R178C21</stp>
        <tr r="U178" s="63"/>
      </tp>
      <tp>
        <v>6.65</v>
        <stp/>
        <stp>##V3_BDPV12</stp>
        <stp>3BV5C 147 COMB Curncy</stp>
        <stp>ASK</stp>
        <stp>[TCE.BB v1 10.12.2015 11.46.xlsm]GBP!R124C13</stp>
        <tr r="M124" s="63"/>
      </tp>
      <tp>
        <v>6.65</v>
        <stp/>
        <stp>##V3_BDPV12</stp>
        <stp>3BV5C 147 COMB Curncy</stp>
        <stp>ASK</stp>
        <stp>[TCE.BB v1 10.12.2015 11.46.xlsm]GBP!R274C13</stp>
        <tr r="M274" s="63"/>
      </tp>
      <tp>
        <v>4.6500000000000004</v>
        <stp/>
        <stp>##V3_BDPV12</stp>
        <stp>3BV5C 149 COMB Curncy</stp>
        <stp>ASK</stp>
        <stp>[TCE.BB v1 10.12.2015 11.46.xlsm]GBP!R258C13</stp>
        <tr r="M258" s="63"/>
      </tp>
      <tp>
        <v>5.65</v>
        <stp/>
        <stp>##V3_BDPV12</stp>
        <stp>3BV5C 148 COMB Curncy</stp>
        <stp>ASK</stp>
        <stp>[TCE.BB v1 10.12.2015 11.46.xlsm]GBP!R266C13</stp>
        <tr r="M266" s="63"/>
      </tp>
      <tp>
        <v>5.65</v>
        <stp/>
        <stp>##V3_BDPV12</stp>
        <stp>3BV5C 148 COMB Curncy</stp>
        <stp>ASK</stp>
        <stp>[TCE.BB v1 10.12.2015 11.46.xlsm]GBP!R116C13</stp>
        <tr r="M116" s="63"/>
      </tp>
      <tp>
        <v>4.6500000000000004</v>
        <stp/>
        <stp>##V3_BDPV12</stp>
        <stp>3BV5C 149 COMB Curncy</stp>
        <stp>ASK</stp>
        <stp>[TCE.BB v1 10.12.2015 11.46.xlsm]GBP!R108C13</stp>
        <tr r="M108" s="63"/>
      </tp>
      <tp>
        <v>3.2050000000000002E-2</v>
        <stp/>
        <stp>##V3_BDPV12</stp>
        <stp>3BV5C 156.5 COMB Curncy</stp>
        <stp>DELTA_MID_RT</stp>
        <stp>[TCE.BB v1 10.12.2015 11.46.xlsm]GBP!R46C1</stp>
        <tr r="A46" s="63"/>
      </tp>
      <tp>
        <v>0.52370000000000005</v>
        <stp/>
        <stp>##V3_BDPV12</stp>
        <stp>3BV5C 153.5 COMB Curncy</stp>
        <stp>DELTA_MID_RT</stp>
        <stp>[TCE.BB v1 10.12.2015 11.46.xlsm]GBP!R70C1</stp>
        <tr r="A70" s="63"/>
      </tp>
      <tp>
        <v>0.73</v>
        <stp/>
        <stp>##V3_BDPV12</stp>
        <stp>3BV5P 154 COMB Curncy</stp>
        <stp>BID</stp>
        <stp>[TCE.BB v1 10.12.2015 11.46.xlsm]GBP!R177C31</stp>
        <tr r="AE177" s="63"/>
      </tp>
      <tp>
        <v>1.47</v>
        <stp/>
        <stp>##V3_BDPV12</stp>
        <stp>3BV5P 155 COMB Curncy</stp>
        <stp>BID</stp>
        <stp>[TCE.BB v1 10.12.2015 11.46.xlsm]GBP!R177C33</stp>
        <tr r="AG177" s="63"/>
      </tp>
      <tp>
        <v>2.38</v>
        <stp/>
        <stp>##V3_BDPV12</stp>
        <stp>3BV5P 156 COMB Curncy</stp>
        <stp>BID</stp>
        <stp>[TCE.BB v1 10.12.2015 11.46.xlsm]GBP!R177C35</stp>
        <tr r="AI177" s="63"/>
      </tp>
      <tp>
        <v>3.36</v>
        <stp/>
        <stp>##V3_BDPV12</stp>
        <stp>3BV5P 157 COMB Curncy</stp>
        <stp>BID</stp>
        <stp>[TCE.BB v1 10.12.2015 11.46.xlsm]GBP!R177C37</stp>
        <tr r="AK177" s="63"/>
      </tp>
      <tp>
        <v>0.01</v>
        <stp/>
        <stp>##V3_BDPV12</stp>
        <stp>3BV5P 151 COMB Curncy</stp>
        <stp>BID</stp>
        <stp>[TCE.BB v1 10.12.2015 11.46.xlsm]GBP!R177C25</stp>
        <tr r="Y177" s="63"/>
      </tp>
      <tp t="s">
        <v>#N/A N/A</v>
        <stp/>
        <stp>##V3_BDPV12</stp>
        <stp>3BV5P 150 COMB Curncy</stp>
        <stp>BID</stp>
        <stp>[TCE.BB v1 10.12.2015 11.46.xlsm]GBP!R177C23</stp>
        <tr r="W177" s="63"/>
      </tp>
      <tp>
        <v>0.25</v>
        <stp/>
        <stp>##V3_BDPV12</stp>
        <stp>3BV5P 153 COMB Curncy</stp>
        <stp>BID</stp>
        <stp>[TCE.BB v1 10.12.2015 11.46.xlsm]GBP!R177C29</stp>
        <tr r="AC177" s="63"/>
      </tp>
      <tp>
        <v>0.06</v>
        <stp/>
        <stp>##V3_BDPV12</stp>
        <stp>3BV5P 152 COMB Curncy</stp>
        <stp>BID</stp>
        <stp>[TCE.BB v1 10.12.2015 11.46.xlsm]GBP!R177C27</stp>
        <tr r="AA177" s="63"/>
      </tp>
      <tp t="s">
        <v>#N/A N/A</v>
        <stp/>
        <stp>##V3_BDPV12</stp>
        <stp>3BV5C 158 COMB Curncy</stp>
        <stp>BID</stp>
        <stp>[TCE.BB v1 10.12.2015 11.46.xlsm]GBP!R185C13</stp>
        <tr r="M185" s="63"/>
      </tp>
      <tp>
        <v>0.02</v>
        <stp/>
        <stp>##V3_BDPV12</stp>
        <stp>3BV5C 156 COMB Curncy</stp>
        <stp>BID</stp>
        <stp>[TCE.BB v1 10.12.2015 11.46.xlsm]GBP!R201C13</stp>
        <tr r="M201" s="63"/>
      </tp>
      <tp>
        <v>8.1611989999999999</v>
        <stp/>
        <stp>##V3_BDPV12</stp>
        <stp>3BV5P 153 COMB Curncy</stp>
        <stp>IVOL_MID_RT</stp>
        <stp>[TCE.BB v1 10.12.2015 11.46.xlsm]GBP!R166C29</stp>
        <tr r="AC166" s="63"/>
      </tp>
      <tp>
        <v>8.3030390000000001</v>
        <stp/>
        <stp>##V3_BDPV12</stp>
        <stp>3BV5P 152 COMB Curncy</stp>
        <stp>IVOL_MID_RT</stp>
        <stp>[TCE.BB v1 10.12.2015 11.46.xlsm]GBP!R166C27</stp>
        <tr r="AA166" s="63"/>
      </tp>
      <tp>
        <v>0.31</v>
        <stp/>
        <stp>##V3_BDPV12</stp>
        <stp>3BV5C 154 COMB Curncy</stp>
        <stp>BID</stp>
        <stp>[TCE.BB v1 10.12.2015 11.46.xlsm]GBP!R217C13</stp>
        <tr r="M217" s="63"/>
      </tp>
      <tp>
        <v>8.2244770000000003</v>
        <stp/>
        <stp>##V3_BDPV12</stp>
        <stp>3BV5P 151 COMB Curncy</stp>
        <stp>IVOL_MID_RT</stp>
        <stp>[TCE.BB v1 10.12.2015 11.46.xlsm]GBP!R166C25</stp>
        <tr r="Y166" s="63"/>
      </tp>
      <tp t="s">
        <v>#N/A N/A</v>
        <stp/>
        <stp>##V3_BDPV12</stp>
        <stp>3BV5C 157 COMB Curncy</stp>
        <stp>BID</stp>
        <stp>[TCE.BB v1 10.12.2015 11.46.xlsm]GBP!R193C13</stp>
        <tr r="M193" s="63"/>
      </tp>
      <tp>
        <v>12.276263999999999</v>
        <stp/>
        <stp>##V3_BDPV12</stp>
        <stp>3BV5P 150 COMB Curncy</stp>
        <stp>IVOL_MID_RT</stp>
        <stp>[TCE.BB v1 10.12.2015 11.46.xlsm]GBP!R166C23</stp>
        <tr r="W166" s="63"/>
      </tp>
      <tp>
        <v>0.09</v>
        <stp/>
        <stp>##V3_BDPV12</stp>
        <stp>3BV5C 155 COMB Curncy</stp>
        <stp>BID</stp>
        <stp>[TCE.BB v1 10.12.2015 11.46.xlsm]GBP!R209C13</stp>
        <tr r="M209" s="63"/>
      </tp>
      <tp>
        <v>1.59</v>
        <stp/>
        <stp>##V3_BDPV12</stp>
        <stp>3BV5C 152 COMB Curncy</stp>
        <stp>BID</stp>
        <stp>[TCE.BB v1 10.12.2015 11.46.xlsm]GBP!R233C13</stp>
        <tr r="M233" s="63"/>
      </tp>
      <tp>
        <v>10.012288</v>
        <stp/>
        <stp>##V3_BDPV12</stp>
        <stp>3BV5P 156 COMB Curncy</stp>
        <stp>IVOL_MID_RT</stp>
        <stp>[TCE.BB v1 10.12.2015 11.46.xlsm]GBP!R166C35</stp>
        <tr r="AI166" s="63"/>
      </tp>
      <tp>
        <v>11.547354</v>
        <stp/>
        <stp>##V3_BDPV12</stp>
        <stp>3BV5P 157 COMB Curncy</stp>
        <stp>IVOL_MID_RT</stp>
        <stp>[TCE.BB v1 10.12.2015 11.46.xlsm]GBP!R166C37</stp>
        <tr r="AK166" s="63"/>
      </tp>
      <tp>
        <v>0.78</v>
        <stp/>
        <stp>##V3_BDPV12</stp>
        <stp>3BV5C 153 COMB Curncy</stp>
        <stp>BID</stp>
        <stp>[TCE.BB v1 10.12.2015 11.46.xlsm]GBP!R225C13</stp>
        <tr r="M225" s="63"/>
      </tp>
      <tp>
        <v>3.49</v>
        <stp/>
        <stp>##V3_BDPV12</stp>
        <stp>3BV5C 150 COMB Curncy</stp>
        <stp>BID</stp>
        <stp>[TCE.BB v1 10.12.2015 11.46.xlsm]GBP!R249C13</stp>
        <tr r="M249" s="63"/>
      </tp>
      <tp>
        <v>8.3304530000000003</v>
        <stp/>
        <stp>##V3_BDPV12</stp>
        <stp>3BV5P 154 COMB Curncy</stp>
        <stp>IVOL_MID_RT</stp>
        <stp>[TCE.BB v1 10.12.2015 11.46.xlsm]GBP!R166C31</stp>
        <tr r="AE166" s="63"/>
      </tp>
      <tp>
        <v>8.6046870000000002</v>
        <stp/>
        <stp>##V3_BDPV12</stp>
        <stp>3BV5P 155 COMB Curncy</stp>
        <stp>IVOL_MID_RT</stp>
        <stp>[TCE.BB v1 10.12.2015 11.46.xlsm]GBP!R166C33</stp>
        <tr r="AG166" s="63"/>
      </tp>
      <tp>
        <v>2.5099999999999998</v>
        <stp/>
        <stp>##V3_BDPV12</stp>
        <stp>3BV5C 151 COMB Curncy</stp>
        <stp>BID</stp>
        <stp>[TCE.BB v1 10.12.2015 11.46.xlsm]GBP!R241C13</stp>
        <tr r="M241" s="63"/>
      </tp>
      <tp t="s">
        <v>#N/A N/A</v>
        <stp/>
        <stp>##V3_BDPV12</stp>
        <stp>3BV5P 149 COMB Curncy</stp>
        <stp>BID</stp>
        <stp>[TCE.BB v1 10.12.2015 11.46.xlsm]GBP!R177C21</stp>
        <tr r="U177" s="63"/>
      </tp>
      <tp t="s">
        <v>#N/A N/A</v>
        <stp/>
        <stp>##V3_BDPV12</stp>
        <stp>3BV5P 148 COMB Curncy</stp>
        <stp>BID</stp>
        <stp>[TCE.BB v1 10.12.2015 11.46.xlsm]GBP!R177C19</stp>
        <tr r="S177" s="63"/>
      </tp>
      <tp t="s">
        <v>#N/A N/A</v>
        <stp/>
        <stp>##V3_BDPV12</stp>
        <stp>3BV5P 147 COMB Curncy</stp>
        <stp>BID</stp>
        <stp>[TCE.BB v1 10.12.2015 11.46.xlsm]GBP!R177C17</stp>
        <tr r="Q177" s="63"/>
      </tp>
      <tp>
        <v>15.888185999999999</v>
        <stp/>
        <stp>##V3_BDPV12</stp>
        <stp>3BV5P 148 COMB Curncy</stp>
        <stp>IVOL_MID_RT</stp>
        <stp>[TCE.BB v1 10.12.2015 11.46.xlsm]GBP!R166C19</stp>
        <tr r="S166" s="63"/>
      </tp>
      <tp>
        <v>13.635097999999999</v>
        <stp/>
        <stp>##V3_BDPV12</stp>
        <stp>3BV5P 149 COMB Curncy</stp>
        <stp>IVOL_MID_RT</stp>
        <stp>[TCE.BB v1 10.12.2015 11.46.xlsm]GBP!R166C21</stp>
        <tr r="U166" s="63"/>
      </tp>
      <tp>
        <v>4.5</v>
        <stp/>
        <stp>##V3_BDPV12</stp>
        <stp>3BV5C 149 COMB Curncy</stp>
        <stp>BID</stp>
        <stp>[TCE.BB v1 10.12.2015 11.46.xlsm]GBP!R107C13</stp>
        <tr r="M107" s="63"/>
      </tp>
      <tp>
        <v>5.49</v>
        <stp/>
        <stp>##V3_BDPV12</stp>
        <stp>3BV5C 148 COMB Curncy</stp>
        <stp>BID</stp>
        <stp>[TCE.BB v1 10.12.2015 11.46.xlsm]GBP!R115C13</stp>
        <tr r="M115" s="63"/>
      </tp>
      <tp>
        <v>5.49</v>
        <stp/>
        <stp>##V3_BDPV12</stp>
        <stp>3BV5C 148 COMB Curncy</stp>
        <stp>BID</stp>
        <stp>[TCE.BB v1 10.12.2015 11.46.xlsm]GBP!R265C13</stp>
        <tr r="M265" s="63"/>
      </tp>
      <tp>
        <v>4.5</v>
        <stp/>
        <stp>##V3_BDPV12</stp>
        <stp>3BV5C 149 COMB Curncy</stp>
        <stp>BID</stp>
        <stp>[TCE.BB v1 10.12.2015 11.46.xlsm]GBP!R257C13</stp>
        <tr r="M257" s="63"/>
      </tp>
      <tp>
        <v>6.49</v>
        <stp/>
        <stp>##V3_BDPV12</stp>
        <stp>3BV5C 147 COMB Curncy</stp>
        <stp>BID</stp>
        <stp>[TCE.BB v1 10.12.2015 11.46.xlsm]GBP!R273C13</stp>
        <tr r="M273" s="63"/>
      </tp>
      <tp>
        <v>6.49</v>
        <stp/>
        <stp>##V3_BDPV12</stp>
        <stp>3BV5C 147 COMB Curncy</stp>
        <stp>BID</stp>
        <stp>[TCE.BB v1 10.12.2015 11.46.xlsm]GBP!R123C13</stp>
        <tr r="M123" s="63"/>
      </tp>
      <tp>
        <v>18.451069</v>
        <stp/>
        <stp>##V3_BDPV12</stp>
        <stp>3BV5P 147 COMB Curncy</stp>
        <stp>IVOL_MID_RT</stp>
        <stp>[TCE.BB v1 10.12.2015 11.46.xlsm]GBP!R166C17</stp>
        <tr r="Q166" s="63"/>
      </tp>
      <tp>
        <v>4.0199999999999996</v>
        <stp/>
        <stp>##V3_BDPV12</stp>
        <stp>3BV5P 157.5 COMB Curncy</stp>
        <stp>ASK</stp>
        <stp>[TCE.BB v1 10.12.2015 11.46.xlsm]GBP!R178C38</stp>
        <tr r="AL178" s="63"/>
      </tp>
      <tp>
        <v>1.17</v>
        <stp/>
        <stp>##V3_BDPV12</stp>
        <stp>3BV5P 154.5 COMB Curncy</stp>
        <stp>ASK</stp>
        <stp>[TCE.BB v1 10.12.2015 11.46.xlsm]GBP!R178C32</stp>
        <tr r="AF178" s="63"/>
      </tp>
      <tp>
        <v>0.48</v>
        <stp/>
        <stp>##V3_BDPV12</stp>
        <stp>3BV5P 153.5 COMB Curncy</stp>
        <stp>ASK</stp>
        <stp>[TCE.BB v1 10.12.2015 11.46.xlsm]GBP!R178C30</stp>
        <tr r="AD178" s="63"/>
      </tp>
      <tp>
        <v>3.03</v>
        <stp/>
        <stp>##V3_BDPV12</stp>
        <stp>3BV5P 156.5 COMB Curncy</stp>
        <stp>ASK</stp>
        <stp>[TCE.BB v1 10.12.2015 11.46.xlsm]GBP!R178C36</stp>
        <tr r="AJ178" s="63"/>
      </tp>
      <tp>
        <v>2.06</v>
        <stp/>
        <stp>##V3_BDPV12</stp>
        <stp>3BV5P 155.5 COMB Curncy</stp>
        <stp>ASK</stp>
        <stp>[TCE.BB v1 10.12.2015 11.46.xlsm]GBP!R178C34</stp>
        <tr r="AH178" s="63"/>
      </tp>
      <tp>
        <v>0.16</v>
        <stp/>
        <stp>##V3_BDPV12</stp>
        <stp>3BV5P 152.5 COMB Curncy</stp>
        <stp>ASK</stp>
        <stp>[TCE.BB v1 10.12.2015 11.46.xlsm]GBP!R178C28</stp>
        <tr r="AB178" s="63"/>
      </tp>
      <tp>
        <v>6.15</v>
        <stp/>
        <stp>##V3_BDPV12</stp>
        <stp>3BV5C 147.5 COMB Curncy</stp>
        <stp>ASK</stp>
        <stp>[TCE.BB v1 10.12.2015 11.46.xlsm]GBP!R270C13</stp>
        <tr r="M270" s="63"/>
      </tp>
      <tp>
        <v>0.01</v>
        <stp/>
        <stp>##V3_BDPV12</stp>
        <stp>3BV5P 149.5 COMB Curncy</stp>
        <stp>ASK</stp>
        <stp>[TCE.BB v1 10.12.2015 11.46.xlsm]GBP!R178C22</stp>
        <tr r="V178" s="63"/>
      </tp>
      <tp>
        <v>5.15</v>
        <stp/>
        <stp>##V3_BDPV12</stp>
        <stp>3BV5C 148.5 COMB Curncy</stp>
        <stp>ASK</stp>
        <stp>[TCE.BB v1 10.12.2015 11.46.xlsm]GBP!R262C13</stp>
        <tr r="M262" s="63"/>
      </tp>
      <tp>
        <v>3.16</v>
        <stp/>
        <stp>##V3_BDPV12</stp>
        <stp>3BV5C 150.5 COMB Curncy</stp>
        <stp>ASK</stp>
        <stp>[TCE.BB v1 10.12.2015 11.46.xlsm]GBP!R246C13</stp>
        <tr r="M246" s="63"/>
      </tp>
      <tp>
        <v>4.16</v>
        <stp/>
        <stp>##V3_BDPV12</stp>
        <stp>3BV5C 149.5 COMB Curncy</stp>
        <stp>ASK</stp>
        <stp>[TCE.BB v1 10.12.2015 11.46.xlsm]GBP!R254C13</stp>
        <tr r="M254" s="63"/>
      </tp>
      <tp>
        <v>0.01</v>
        <stp/>
        <stp>##V3_BDPV12</stp>
        <stp>3BV5P 148.5 COMB Curncy</stp>
        <stp>ASK</stp>
        <stp>[TCE.BB v1 10.12.2015 11.46.xlsm]GBP!R178C20</stp>
        <tr r="T178" s="63"/>
      </tp>
      <tp>
        <v>0.05</v>
        <stp/>
        <stp>##V3_BDPV12</stp>
        <stp>3BV5P 151.5 COMB Curncy</stp>
        <stp>ASK</stp>
        <stp>[TCE.BB v1 10.12.2015 11.46.xlsm]GBP!R178C26</stp>
        <tr r="Z178" s="63"/>
      </tp>
      <tp>
        <v>0.56000000000000005</v>
        <stp/>
        <stp>##V3_BDPV12</stp>
        <stp>3BV5C 153.5 COMB Curncy</stp>
        <stp>ASK</stp>
        <stp>[TCE.BB v1 10.12.2015 11.46.xlsm]GBP!R222C13</stp>
        <tr r="M222" s="63"/>
      </tp>
      <tp>
        <v>1.29</v>
        <stp/>
        <stp>##V3_BDPV12</stp>
        <stp>3BV5C 152.5 COMB Curncy</stp>
        <stp>ASK</stp>
        <stp>[TCE.BB v1 10.12.2015 11.46.xlsm]GBP!R230C13</stp>
        <tr r="M230" s="63"/>
      </tp>
      <tp>
        <v>2.19</v>
        <stp/>
        <stp>##V3_BDPV12</stp>
        <stp>3BV5C 151.5 COMB Curncy</stp>
        <stp>ASK</stp>
        <stp>[TCE.BB v1 10.12.2015 11.46.xlsm]GBP!R238C13</stp>
        <tr r="M238" s="63"/>
      </tp>
      <tp>
        <v>0.02</v>
        <stp/>
        <stp>##V3_BDPV12</stp>
        <stp>3BV5P 150.5 COMB Curncy</stp>
        <stp>ASK</stp>
        <stp>[TCE.BB v1 10.12.2015 11.46.xlsm]GBP!R178C24</stp>
        <tr r="X178" s="63"/>
      </tp>
      <tp>
        <v>7.0000000000000007E-2</v>
        <stp/>
        <stp>##V3_BDPV12</stp>
        <stp>3BV5C 155.5 COMB Curncy</stp>
        <stp>ASK</stp>
        <stp>[TCE.BB v1 10.12.2015 11.46.xlsm]GBP!R206C13</stp>
        <tr r="M206" s="63"/>
      </tp>
      <tp>
        <v>0.19</v>
        <stp/>
        <stp>##V3_BDPV12</stp>
        <stp>3BV5C 154.5 COMB Curncy</stp>
        <stp>ASK</stp>
        <stp>[TCE.BB v1 10.12.2015 11.46.xlsm]GBP!R214C13</stp>
        <tr r="M214" s="63"/>
      </tp>
      <tp>
        <v>0.01</v>
        <stp/>
        <stp>##V3_BDPV12</stp>
        <stp>3BV5P 147.5 COMB Curncy</stp>
        <stp>ASK</stp>
        <stp>[TCE.BB v1 10.12.2015 11.46.xlsm]GBP!R178C18</stp>
        <tr r="R178" s="63"/>
      </tp>
      <tp>
        <v>0.02</v>
        <stp/>
        <stp>##V3_BDPV12</stp>
        <stp>3BV5C 157.5 COMB Curncy</stp>
        <stp>ASK</stp>
        <stp>[TCE.BB v1 10.12.2015 11.46.xlsm]GBP!R190C13</stp>
        <tr r="M190" s="63"/>
      </tp>
      <tp>
        <v>0.03</v>
        <stp/>
        <stp>##V3_BDPV12</stp>
        <stp>3BV5C 156.5 COMB Curncy</stp>
        <stp>ASK</stp>
        <stp>[TCE.BB v1 10.12.2015 11.46.xlsm]GBP!R198C13</stp>
        <tr r="M198" s="63"/>
      </tp>
      <tp>
        <v>6.15</v>
        <stp/>
        <stp>##V3_BDPV12</stp>
        <stp>3BV5C 147.5 COMB Curncy</stp>
        <stp>ASK</stp>
        <stp>[TCE.BB v1 10.12.2015 11.46.xlsm]GBP!R120C13</stp>
        <tr r="M120" s="63"/>
      </tp>
      <tp>
        <v>5.15</v>
        <stp/>
        <stp>##V3_BDPV12</stp>
        <stp>3BV5C 148.5 COMB Curncy</stp>
        <stp>ASK</stp>
        <stp>[TCE.BB v1 10.12.2015 11.46.xlsm]GBP!R112C13</stp>
        <tr r="M112" s="63"/>
      </tp>
      <tp>
        <v>4.16</v>
        <stp/>
        <stp>##V3_BDPV12</stp>
        <stp>3BV5C 149.5 COMB Curncy</stp>
        <stp>ASK</stp>
        <stp>[TCE.BB v1 10.12.2015 11.46.xlsm]GBP!R104C13</stp>
        <tr r="M104" s="63"/>
      </tp>
      <tp>
        <v>153.57</v>
        <stp/>
        <stp>##V3_BDPV12</stp>
        <stp>BPZ5 Curncy</stp>
        <stp>LAST_PRICE</stp>
        <stp>[TCE.BB v1 10.12.2015 11.46.xlsm]GBP!R14C2</stp>
        <tr r="B14" s="63"/>
      </tp>
      <tp>
        <v>153.57</v>
        <stp/>
        <stp>##V3_BDPV12</stp>
        <stp>BPZ5 Curncy</stp>
        <stp>LAST_PRICE</stp>
        <stp>[TCE.BB v1 10.12.2015 11.46.xlsm]GBP!R14C3</stp>
        <tr r="C14" s="63"/>
      </tp>
      <tp>
        <v>8.7917769999999997</v>
        <stp/>
        <stp>##V3_BDPV12</stp>
        <stp>3BV5C 152 COMB Curncy</stp>
        <stp>IVOL_MID_RT</stp>
        <stp>[TCE.BB v1 10.12.2015 11.46.xlsm]GBP!R82C2</stp>
        <tr r="B82" s="63"/>
      </tp>
      <tp>
        <v>11.599807</v>
        <stp/>
        <stp>##V3_BDPV12</stp>
        <stp>3BV5C 157 COMB Curncy</stp>
        <stp>IVOL_MID_RT</stp>
        <stp>[TCE.BB v1 10.12.2015 11.46.xlsm]GBP!R42C2</stp>
        <tr r="B42" s="63"/>
      </tp>
      <tp>
        <v>1.3762999999999999E-2</v>
        <stp/>
        <stp>##V3_BDPV12</stp>
        <stp>3BV5C 158 COMB Curncy</stp>
        <stp>DELTA_MID_RT</stp>
        <stp>[TCE.BB v1 10.12.2015 11.46.xlsm]GBP!R34C1</stp>
        <tr r="A34" s="63"/>
      </tp>
      <tp>
        <v>0.67532000000000003</v>
        <stp/>
        <stp>##V3_BDPV12</stp>
        <stp>3BV5C 153 COMB Curncy</stp>
        <stp>DELTA_MID_RT</stp>
        <stp>[TCE.BB v1 10.12.2015 11.46.xlsm]GBP!R74C1</stp>
        <tr r="A74" s="63"/>
      </tp>
      <tp>
        <v>8.286092</v>
        <stp/>
        <stp>##V3_BDPV12</stp>
        <stp>3BV5C 151 COMB Curncy</stp>
        <stp>IVOL_MID_RT</stp>
        <stp>[TCE.BB v1 10.12.2015 11.46.xlsm]GBP!R90C2</stp>
        <tr r="B90" s="63"/>
      </tp>
      <tp>
        <v>9.3806910000000006</v>
        <stp/>
        <stp>##V3_BDPV12</stp>
        <stp>3BV5C 156 COMB Curncy</stp>
        <stp>IVOL_MID_RT</stp>
        <stp>[TCE.BB v1 10.12.2015 11.46.xlsm]GBP!R50C2</stp>
        <tr r="B50" s="63"/>
      </tp>
      <tp>
        <v>0.368892</v>
        <stp/>
        <stp>##V3_BDPV12</stp>
        <stp>3BV5C 154 COMB Curncy</stp>
        <stp>DELTA_MID_RT</stp>
        <stp>[TCE.BB v1 10.12.2015 11.46.xlsm]GBP!R66C1</stp>
        <tr r="A66" s="63"/>
      </tp>
      <tp>
        <v>8.2223900000000008</v>
        <stp/>
        <stp>##V3_BDPV12</stp>
        <stp>3BV5C 154 COMB Curncy</stp>
        <stp>IVOL_MID_RT</stp>
        <stp>[TCE.BB v1 10.12.2015 11.46.xlsm]GBP!R66C2</stp>
        <tr r="B66" s="63"/>
      </tp>
      <tp>
        <v>0.97915099999999999</v>
        <stp/>
        <stp>##V3_BDPV12</stp>
        <stp>3BV5C 151 COMB Curncy</stp>
        <stp>DELTA_MID_RT</stp>
        <stp>[TCE.BB v1 10.12.2015 11.46.xlsm]GBP!R90C1</stp>
        <tr r="A90" s="63"/>
      </tp>
      <tp>
        <v>4.9792999999999997E-2</v>
        <stp/>
        <stp>##V3_BDPV12</stp>
        <stp>3BV5C 156 COMB Curncy</stp>
        <stp>DELTA_MID_RT</stp>
        <stp>[TCE.BB v1 10.12.2015 11.46.xlsm]GBP!R50C1</stp>
        <tr r="A50" s="63"/>
      </tp>
      <tp>
        <v>13.036985</v>
        <stp/>
        <stp>##V3_BDPV12</stp>
        <stp>3BV5C 158 COMB Curncy</stp>
        <stp>IVOL_MID_RT</stp>
        <stp>[TCE.BB v1 10.12.2015 11.46.xlsm]GBP!R34C2</stp>
        <tr r="B34" s="63"/>
      </tp>
      <tp>
        <v>8.2205220000000008</v>
        <stp/>
        <stp>##V3_BDPV12</stp>
        <stp>3BV5C 153 COMB Curncy</stp>
        <stp>IVOL_MID_RT</stp>
        <stp>[TCE.BB v1 10.12.2015 11.46.xlsm]GBP!R74C2</stp>
        <tr r="B74" s="63"/>
      </tp>
      <tp>
        <v>0.88027599999999995</v>
        <stp/>
        <stp>##V3_BDPV12</stp>
        <stp>3BV5C 152 COMB Curncy</stp>
        <stp>DELTA_MID_RT</stp>
        <stp>[TCE.BB v1 10.12.2015 11.46.xlsm]GBP!R82C1</stp>
        <tr r="A82" s="63"/>
      </tp>
      <tp>
        <v>2.8662E-2</v>
        <stp/>
        <stp>##V3_BDPV12</stp>
        <stp>3BV5C 157 COMB Curncy</stp>
        <stp>DELTA_MID_RT</stp>
        <stp>[TCE.BB v1 10.12.2015 11.46.xlsm]GBP!R42C1</stp>
        <tr r="A42" s="63"/>
      </tp>
      <tp>
        <v>10.924092</v>
        <stp/>
        <stp>##V3_BDPV12</stp>
        <stp>3BV5C 150 COMB Curncy</stp>
        <stp>IVOL_MID_RT</stp>
        <stp>[TCE.BB v1 10.12.2015 11.46.xlsm]GBP!R98C2</stp>
        <tr r="B98" s="63"/>
      </tp>
      <tp>
        <v>8.8325370000000003</v>
        <stp/>
        <stp>##V3_BDPV12</stp>
        <stp>3BV5C 155 COMB Curncy</stp>
        <stp>IVOL_MID_RT</stp>
        <stp>[TCE.BB v1 10.12.2015 11.46.xlsm]GBP!R58C2</stp>
        <tr r="B58" s="63"/>
      </tp>
      <tp>
        <v>153.57</v>
        <stp/>
        <stp>##V3_BDPV12</stp>
        <stp>BPZ5 Curncy</stp>
        <stp>LAST_PRICE</stp>
        <stp>[TCE.BB v1 10.12.2015 11.46.xlsm]GBP!R2C13</stp>
        <tr r="M2" s="63"/>
      </tp>
      <tp>
        <v>1</v>
        <stp/>
        <stp>##V3_BDPV12</stp>
        <stp>3BV5C 150 COMB Curncy</stp>
        <stp>DELTA_MID_RT</stp>
        <stp>[TCE.BB v1 10.12.2015 11.46.xlsm]GBP!R98C1</stp>
        <tr r="A98" s="63"/>
      </tp>
      <tp>
        <v>0.143846</v>
        <stp/>
        <stp>##V3_BDPV12</stp>
        <stp>3BV5C 155 COMB Curncy</stp>
        <stp>DELTA_MID_RT</stp>
        <stp>[TCE.BB v1 10.12.2015 11.46.xlsm]GBP!R58C1</stp>
        <tr r="A58" s="63"/>
      </tp>
      <tp>
        <v>-1.0691000000000001E-2</v>
        <stp/>
        <stp>##V3_BDPV12</stp>
        <stp>3BV5P 147.5 COMB Curncy</stp>
        <stp>DELTA_MID_RT</stp>
        <stp>[TCE.BB v1 10.12.2015 11.46.xlsm]GBP!R165C18</stp>
        <tr r="R165" s="63"/>
      </tp>
      <tp>
        <v>-0.97896099999999997</v>
        <stp/>
        <stp>##V3_BDPV12</stp>
        <stp>3BV5P 157.5 COMB Curncy</stp>
        <stp>DELTA_MID_RT</stp>
        <stp>[TCE.BB v1 10.12.2015 11.46.xlsm]GBP!R165C38</stp>
        <tr r="AL165" s="63"/>
      </tp>
      <tp>
        <v>-1.4453000000000001E-2</v>
        <stp/>
        <stp>##V3_BDPV12</stp>
        <stp>3BV5P 149.5 COMB Curncy</stp>
        <stp>DELTA_MID_RT</stp>
        <stp>[TCE.BB v1 10.12.2015 11.46.xlsm]GBP!R165C22</stp>
        <tr r="V165" s="63"/>
      </tp>
      <tp>
        <v>-1.2318000000000001E-2</v>
        <stp/>
        <stp>##V3_BDPV12</stp>
        <stp>3BV5P 148.5 COMB Curncy</stp>
        <stp>DELTA_MID_RT</stp>
        <stp>[TCE.BB v1 10.12.2015 11.46.xlsm]GBP!R165C20</stp>
        <tr r="T165" s="63"/>
      </tp>
      <tp>
        <v>-0.75816499999999998</v>
        <stp/>
        <stp>##V3_BDPV12</stp>
        <stp>3BV5P 154.5 COMB Curncy</stp>
        <stp>DELTA_MID_RT</stp>
        <stp>[TCE.BB v1 10.12.2015 11.46.xlsm]GBP!R165C32</stp>
        <tr r="AF165" s="63"/>
      </tp>
      <tp>
        <v>-0.47907899999999998</v>
        <stp/>
        <stp>##V3_BDPV12</stp>
        <stp>3BV5P 153.5 COMB Curncy</stp>
        <stp>DELTA_MID_RT</stp>
        <stp>[TCE.BB v1 10.12.2015 11.46.xlsm]GBP!R165C30</stp>
        <tr r="AD165" s="63"/>
      </tp>
      <tp>
        <v>-0.957094</v>
        <stp/>
        <stp>##V3_BDPV12</stp>
        <stp>3BV5P 156.5 COMB Curncy</stp>
        <stp>DELTA_MID_RT</stp>
        <stp>[TCE.BB v1 10.12.2015 11.46.xlsm]GBP!R165C36</stp>
        <tr r="AJ165" s="63"/>
      </tp>
      <tp>
        <v>-0.90430100000000002</v>
        <stp/>
        <stp>##V3_BDPV12</stp>
        <stp>3BV5P 155.5 COMB Curncy</stp>
        <stp>DELTA_MID_RT</stp>
        <stp>[TCE.BB v1 10.12.2015 11.46.xlsm]GBP!R165C34</stp>
        <tr r="AH165" s="63"/>
      </tp>
      <tp>
        <v>-0.20353099999999999</v>
        <stp/>
        <stp>##V3_BDPV12</stp>
        <stp>3BV5P 152.5 COMB Curncy</stp>
        <stp>DELTA_MID_RT</stp>
        <stp>[TCE.BB v1 10.12.2015 11.46.xlsm]GBP!R165C28</stp>
        <tr r="AB165" s="63"/>
      </tp>
      <tp>
        <v>-6.5323999999999993E-2</v>
        <stp/>
        <stp>##V3_BDPV12</stp>
        <stp>3BV5P 151.5 COMB Curncy</stp>
        <stp>DELTA_MID_RT</stp>
        <stp>[TCE.BB v1 10.12.2015 11.46.xlsm]GBP!R165C26</stp>
        <tr r="Z165" s="63"/>
      </tp>
      <tp>
        <v>-2.9954000000000001E-2</v>
        <stp/>
        <stp>##V3_BDPV12</stp>
        <stp>3BV5P 150.5 COMB Curncy</stp>
        <stp>DELTA_MID_RT</stp>
        <stp>[TCE.BB v1 10.12.2015 11.46.xlsm]GBP!R165C24</stp>
        <tr r="X165" s="63"/>
      </tp>
      <tp>
        <v>15.888185999999999</v>
        <stp/>
        <stp>##V3_BDPV12</stp>
        <stp>3BV5P 148 COMB Curncy</stp>
        <stp>IVOL_MID_RT</stp>
        <stp>[TCE.BB v1 10.12.2015 11.46.xlsm]GBP!R16C19</stp>
        <tr r="S16" s="63"/>
      </tp>
      <tp>
        <v>18.451069</v>
        <stp/>
        <stp>##V3_BDPV12</stp>
        <stp>3BV5P 147 COMB Curncy</stp>
        <stp>IVOL_MID_RT</stp>
        <stp>[TCE.BB v1 10.12.2015 11.46.xlsm]GBP!R16C17</stp>
        <tr r="Q16" s="63"/>
      </tp>
      <tp>
        <v>13.635097999999999</v>
        <stp/>
        <stp>##V3_BDPV12</stp>
        <stp>3BV5P 149 COMB Curncy</stp>
        <stp>IVOL_MID_RT</stp>
        <stp>[TCE.BB v1 10.12.2015 11.46.xlsm]GBP!R16C21</stp>
        <tr r="U16" s="63"/>
      </tp>
      <tp>
        <v>11.547354</v>
        <stp/>
        <stp>##V3_BDPV12</stp>
        <stp>3BV5P 157 COMB Curncy</stp>
        <stp>IVOL_MID_RT</stp>
        <stp>[TCE.BB v1 10.12.2015 11.46.xlsm]GBP!R16C37</stp>
        <tr r="AK16" s="63"/>
      </tp>
      <tp>
        <v>10.012288</v>
        <stp/>
        <stp>##V3_BDPV12</stp>
        <stp>3BV5P 156 COMB Curncy</stp>
        <stp>IVOL_MID_RT</stp>
        <stp>[TCE.BB v1 10.12.2015 11.46.xlsm]GBP!R16C35</stp>
        <tr r="AI16" s="63"/>
      </tp>
      <tp>
        <v>8.3304530000000003</v>
        <stp/>
        <stp>##V3_BDPV12</stp>
        <stp>3BV5P 154 COMB Curncy</stp>
        <stp>IVOL_MID_RT</stp>
        <stp>[TCE.BB v1 10.12.2015 11.46.xlsm]GBP!R16C31</stp>
        <tr r="AE16" s="63"/>
      </tp>
      <tp>
        <v>8.6046870000000002</v>
        <stp/>
        <stp>##V3_BDPV12</stp>
        <stp>3BV5P 155 COMB Curncy</stp>
        <stp>IVOL_MID_RT</stp>
        <stp>[TCE.BB v1 10.12.2015 11.46.xlsm]GBP!R16C33</stp>
        <tr r="AG16" s="63"/>
      </tp>
      <tp>
        <v>8.1611989999999999</v>
        <stp/>
        <stp>##V3_BDPV12</stp>
        <stp>3BV5P 153 COMB Curncy</stp>
        <stp>IVOL_MID_RT</stp>
        <stp>[TCE.BB v1 10.12.2015 11.46.xlsm]GBP!R16C29</stp>
        <tr r="AC16" s="63"/>
      </tp>
      <tp>
        <v>12.276263999999999</v>
        <stp/>
        <stp>##V3_BDPV12</stp>
        <stp>3BV5P 150 COMB Curncy</stp>
        <stp>IVOL_MID_RT</stp>
        <stp>[TCE.BB v1 10.12.2015 11.46.xlsm]GBP!R16C23</stp>
        <tr r="W16" s="63"/>
      </tp>
      <tp>
        <v>8.3030390000000001</v>
        <stp/>
        <stp>##V3_BDPV12</stp>
        <stp>3BV5P 152 COMB Curncy</stp>
        <stp>IVOL_MID_RT</stp>
        <stp>[TCE.BB v1 10.12.2015 11.46.xlsm]GBP!R16C27</stp>
        <tr r="AA16" s="63"/>
      </tp>
      <tp>
        <v>8.2244770000000003</v>
        <stp/>
        <stp>##V3_BDPV12</stp>
        <stp>3BV5P 151 COMB Curncy</stp>
        <stp>IVOL_MID_RT</stp>
        <stp>[TCE.BB v1 10.12.2015 11.46.xlsm]GBP!R16C25</stp>
        <tr r="Y16" s="63"/>
      </tp>
      <tp>
        <v>1.59</v>
        <stp/>
        <stp>##V3_BDPV12</stp>
        <stp>3BV5C 152 COMB Curncy</stp>
        <stp>BID</stp>
        <stp>[TCE.BB v1 10.12.2015 11.46.xlsm]GBP!R83C13</stp>
        <tr r="M83" s="63"/>
      </tp>
      <tp t="s">
        <v>#N/A N/A</v>
        <stp/>
        <stp>##V3_BDPV12</stp>
        <stp>3BV5C 158 COMB Curncy</stp>
        <stp>BID</stp>
        <stp>[TCE.BB v1 10.12.2015 11.46.xlsm]GBP!R35C13</stp>
        <tr r="M35" s="63"/>
      </tp>
      <tp>
        <v>2.5099999999999998</v>
        <stp/>
        <stp>##V3_BDPV12</stp>
        <stp>3BV5C 151 COMB Curncy</stp>
        <stp>BID</stp>
        <stp>[TCE.BB v1 10.12.2015 11.46.xlsm]GBP!R91C13</stp>
        <tr r="M91" s="63"/>
      </tp>
      <tp>
        <v>3.49</v>
        <stp/>
        <stp>##V3_BDPV12</stp>
        <stp>3BV5C 150 COMB Curncy</stp>
        <stp>BID</stp>
        <stp>[TCE.BB v1 10.12.2015 11.46.xlsm]GBP!R99C13</stp>
        <tr r="M99" s="63"/>
      </tp>
      <tp>
        <v>0.78</v>
        <stp/>
        <stp>##V3_BDPV12</stp>
        <stp>3BV5C 153 COMB Curncy</stp>
        <stp>BID</stp>
        <stp>[TCE.BB v1 10.12.2015 11.46.xlsm]GBP!R75C13</stp>
        <tr r="M75" s="63"/>
      </tp>
      <tp>
        <v>0.31</v>
        <stp/>
        <stp>##V3_BDPV12</stp>
        <stp>3BV5C 154 COMB Curncy</stp>
        <stp>BID</stp>
        <stp>[TCE.BB v1 10.12.2015 11.46.xlsm]GBP!R67C13</stp>
        <tr r="M67" s="63"/>
      </tp>
      <tp t="s">
        <v>#N/A N/A</v>
        <stp/>
        <stp>##V3_BDPV12</stp>
        <stp>3BV5C 157 COMB Curncy</stp>
        <stp>BID</stp>
        <stp>[TCE.BB v1 10.12.2015 11.46.xlsm]GBP!R43C13</stp>
        <tr r="M43" s="63"/>
      </tp>
      <tp>
        <v>0.02</v>
        <stp/>
        <stp>##V3_BDPV12</stp>
        <stp>3BV5C 156 COMB Curncy</stp>
        <stp>BID</stp>
        <stp>[TCE.BB v1 10.12.2015 11.46.xlsm]GBP!R51C13</stp>
        <tr r="M51" s="63"/>
      </tp>
      <tp>
        <v>0.09</v>
        <stp/>
        <stp>##V3_BDPV12</stp>
        <stp>3BV5C 155 COMB Curncy</stp>
        <stp>BID</stp>
        <stp>[TCE.BB v1 10.12.2015 11.46.xlsm]GBP!R59C13</stp>
        <tr r="M59" s="63"/>
      </tp>
      <tp t="s">
        <v>#N/A N/A</v>
        <stp/>
        <stp>##V3_BDPV12</stp>
        <stp>3BV5P 147 COMB Curncy</stp>
        <stp>BID</stp>
        <stp>[TCE.BB v1 10.12.2015 11.46.xlsm]GBP!R27C17</stp>
        <tr r="Q27" s="63"/>
      </tp>
      <tp t="s">
        <v>#N/A N/A</v>
        <stp/>
        <stp>##V3_BDPV12</stp>
        <stp>3BV5P 148 COMB Curncy</stp>
        <stp>BID</stp>
        <stp>[TCE.BB v1 10.12.2015 11.46.xlsm]GBP!R27C19</stp>
        <tr r="S27" s="63"/>
      </tp>
      <tp t="s">
        <v>#N/A N/A</v>
        <stp/>
        <stp>##V3_BDPV12</stp>
        <stp>3BV5P 149 COMB Curncy</stp>
        <stp>BID</stp>
        <stp>[TCE.BB v1 10.12.2015 11.46.xlsm]GBP!R27C21</stp>
        <tr r="U27" s="63"/>
      </tp>
      <tp>
        <v>0.73</v>
        <stp/>
        <stp>##V3_BDPV12</stp>
        <stp>3BV5P 154 COMB Curncy</stp>
        <stp>BID</stp>
        <stp>[TCE.BB v1 10.12.2015 11.46.xlsm]GBP!R27C31</stp>
        <tr r="AE27" s="63"/>
      </tp>
      <tp>
        <v>1.47</v>
        <stp/>
        <stp>##V3_BDPV12</stp>
        <stp>3BV5P 155 COMB Curncy</stp>
        <stp>BID</stp>
        <stp>[TCE.BB v1 10.12.2015 11.46.xlsm]GBP!R27C33</stp>
        <tr r="AG27" s="63"/>
      </tp>
      <tp>
        <v>3.36</v>
        <stp/>
        <stp>##V3_BDPV12</stp>
        <stp>3BV5P 157 COMB Curncy</stp>
        <stp>BID</stp>
        <stp>[TCE.BB v1 10.12.2015 11.46.xlsm]GBP!R27C37</stp>
        <tr r="AK27" s="63"/>
      </tp>
      <tp>
        <v>2.38</v>
        <stp/>
        <stp>##V3_BDPV12</stp>
        <stp>3BV5P 156 COMB Curncy</stp>
        <stp>BID</stp>
        <stp>[TCE.BB v1 10.12.2015 11.46.xlsm]GBP!R27C35</stp>
        <tr r="AI27" s="63"/>
      </tp>
      <tp>
        <v>0.25</v>
        <stp/>
        <stp>##V3_BDPV12</stp>
        <stp>3BV5P 153 COMB Curncy</stp>
        <stp>BID</stp>
        <stp>[TCE.BB v1 10.12.2015 11.46.xlsm]GBP!R27C29</stp>
        <tr r="AC27" s="63"/>
      </tp>
      <tp>
        <v>0.01</v>
        <stp/>
        <stp>##V3_BDPV12</stp>
        <stp>3BV5P 151 COMB Curncy</stp>
        <stp>BID</stp>
        <stp>[TCE.BB v1 10.12.2015 11.46.xlsm]GBP!R27C25</stp>
        <tr r="Y27" s="63"/>
      </tp>
      <tp>
        <v>0.06</v>
        <stp/>
        <stp>##V3_BDPV12</stp>
        <stp>3BV5P 152 COMB Curncy</stp>
        <stp>BID</stp>
        <stp>[TCE.BB v1 10.12.2015 11.46.xlsm]GBP!R27C27</stp>
        <tr r="AA27" s="63"/>
      </tp>
      <tp t="s">
        <v>#N/A N/A</v>
        <stp/>
        <stp>##V3_BDPV12</stp>
        <stp>3BV5P 150 COMB Curncy</stp>
        <stp>BID</stp>
        <stp>[TCE.BB v1 10.12.2015 11.46.xlsm]GBP!R27C23</stp>
        <tr r="W27" s="63"/>
      </tp>
    </main>
    <main first="bloomberg.rtd">
      <tp>
        <v>2.54</v>
        <stp/>
        <stp>##V3_BDPV12</stp>
        <stp>3BV5P 156 COMB Curncy</stp>
        <stp>ASK</stp>
        <stp>[TCE.BB v1 10.12.2015 11.46.xlsm]GBP!R28C35</stp>
        <tr r="AI28" s="63"/>
      </tp>
      <tp>
        <v>3.52</v>
        <stp/>
        <stp>##V3_BDPV12</stp>
        <stp>3BV5P 157 COMB Curncy</stp>
        <stp>ASK</stp>
        <stp>[TCE.BB v1 10.12.2015 11.46.xlsm]GBP!R28C37</stp>
        <tr r="AK28" s="63"/>
      </tp>
      <tp>
        <v>1.6</v>
        <stp/>
        <stp>##V3_BDPV12</stp>
        <stp>3BV5P 155 COMB Curncy</stp>
        <stp>ASK</stp>
        <stp>[TCE.BB v1 10.12.2015 11.46.xlsm]GBP!R28C33</stp>
        <tr r="AG28" s="63"/>
      </tp>
      <tp>
        <v>0.78</v>
        <stp/>
        <stp>##V3_BDPV12</stp>
        <stp>3BV5P 154 COMB Curncy</stp>
        <stp>ASK</stp>
        <stp>[TCE.BB v1 10.12.2015 11.46.xlsm]GBP!R28C31</stp>
        <tr r="AE28" s="63"/>
      </tp>
      <tp>
        <v>0.01</v>
        <stp/>
        <stp>##V3_BDPV12</stp>
        <stp>3BV5P 149 COMB Curncy</stp>
        <stp>ASK</stp>
        <stp>[TCE.BB v1 10.12.2015 11.46.xlsm]GBP!R28C21</stp>
        <tr r="U28" s="63"/>
      </tp>
      <tp>
        <v>0.02</v>
        <stp/>
        <stp>##V3_BDPV12</stp>
        <stp>3BV5P 150 COMB Curncy</stp>
        <stp>ASK</stp>
        <stp>[TCE.BB v1 10.12.2015 11.46.xlsm]GBP!R28C23</stp>
        <tr r="W28" s="63"/>
      </tp>
      <tp>
        <v>0.08</v>
        <stp/>
        <stp>##V3_BDPV12</stp>
        <stp>3BV5P 152 COMB Curncy</stp>
        <stp>ASK</stp>
        <stp>[TCE.BB v1 10.12.2015 11.46.xlsm]GBP!R28C27</stp>
        <tr r="AA28" s="63"/>
      </tp>
      <tp>
        <v>0.03</v>
        <stp/>
        <stp>##V3_BDPV12</stp>
        <stp>3BV5P 151 COMB Curncy</stp>
        <stp>ASK</stp>
        <stp>[TCE.BB v1 10.12.2015 11.46.xlsm]GBP!R28C25</stp>
        <tr r="Y28" s="63"/>
      </tp>
      <tp>
        <v>0.28999999999999998</v>
        <stp/>
        <stp>##V3_BDPV12</stp>
        <stp>3BV5P 153 COMB Curncy</stp>
        <stp>ASK</stp>
        <stp>[TCE.BB v1 10.12.2015 11.46.xlsm]GBP!R28C29</stp>
        <tr r="AC28" s="63"/>
      </tp>
      <tp>
        <v>0.04</v>
        <stp/>
        <stp>##V3_BDPV12</stp>
        <stp>3BV5C 156 COMB Curncy</stp>
        <stp>ASK</stp>
        <stp>[TCE.BB v1 10.12.2015 11.46.xlsm]GBP!R52C13</stp>
        <tr r="M52" s="63"/>
      </tp>
      <tp>
        <v>0.11</v>
        <stp/>
        <stp>##V3_BDPV12</stp>
        <stp>3BV5C 155 COMB Curncy</stp>
        <stp>ASK</stp>
        <stp>[TCE.BB v1 10.12.2015 11.46.xlsm]GBP!R60C13</stp>
        <tr r="M60" s="63"/>
      </tp>
      <tp>
        <v>0.02</v>
        <stp/>
        <stp>##V3_BDPV12</stp>
        <stp>3BV5C 157 COMB Curncy</stp>
        <stp>ASK</stp>
        <stp>[TCE.BB v1 10.12.2015 11.46.xlsm]GBP!R44C13</stp>
        <tr r="M44" s="63"/>
      </tp>
      <tp>
        <v>0.33</v>
        <stp/>
        <stp>##V3_BDPV12</stp>
        <stp>3BV5C 154 COMB Curncy</stp>
        <stp>ASK</stp>
        <stp>[TCE.BB v1 10.12.2015 11.46.xlsm]GBP!R68C13</stp>
        <tr r="M68" s="63"/>
      </tp>
      <tp>
        <v>0.9</v>
        <stp/>
        <stp>##V3_BDPV12</stp>
        <stp>3BV5C 153 COMB Curncy</stp>
        <stp>ASK</stp>
        <stp>[TCE.BB v1 10.12.2015 11.46.xlsm]GBP!R76C13</stp>
        <tr r="M76" s="63"/>
      </tp>
      <tp>
        <v>2.67</v>
        <stp/>
        <stp>##V3_BDPV12</stp>
        <stp>3BV5C 151 COMB Curncy</stp>
        <stp>ASK</stp>
        <stp>[TCE.BB v1 10.12.2015 11.46.xlsm]GBP!R92C13</stp>
        <tr r="M92" s="63"/>
      </tp>
      <tp>
        <v>0.01</v>
        <stp/>
        <stp>##V3_BDPV12</stp>
        <stp>3BV5C 158 COMB Curncy</stp>
        <stp>ASK</stp>
        <stp>[TCE.BB v1 10.12.2015 11.46.xlsm]GBP!R36C13</stp>
        <tr r="M36" s="63"/>
      </tp>
      <tp>
        <v>1.73</v>
        <stp/>
        <stp>##V3_BDPV12</stp>
        <stp>3BV5C 152 COMB Curncy</stp>
        <stp>ASK</stp>
        <stp>[TCE.BB v1 10.12.2015 11.46.xlsm]GBP!R84C13</stp>
        <tr r="M84" s="63"/>
      </tp>
      <tp>
        <v>0.01</v>
        <stp/>
        <stp>##V3_BDPV12</stp>
        <stp>3BV5P 148 COMB Curncy</stp>
        <stp>ASK</stp>
        <stp>[TCE.BB v1 10.12.2015 11.46.xlsm]GBP!R28C19</stp>
        <tr r="S28" s="63"/>
      </tp>
      <tp>
        <v>0.01</v>
        <stp/>
        <stp>##V3_BDPV12</stp>
        <stp>3BV5P 147 COMB Curncy</stp>
        <stp>ASK</stp>
        <stp>[TCE.BB v1 10.12.2015 11.46.xlsm]GBP!R28C17</stp>
        <tr r="Q28" s="63"/>
      </tp>
    </main>
    <main first="bloomberg.rtd">
      <tp>
        <v>-0.326345</v>
        <stp/>
        <stp>##V3_BDPV12</stp>
        <stp>3BV5P 153 COMB Curncy</stp>
        <stp>DELTA_MID_RT</stp>
        <stp>[TCE.BB v1 10.12.2015 11.46.xlsm]GBP!R15C29</stp>
        <tr r="AC15" s="63"/>
      </tp>
      <tp>
        <v>-0.112386</v>
        <stp/>
        <stp>##V3_BDPV12</stp>
        <stp>3BV5P 152 COMB Curncy</stp>
        <stp>DELTA_MID_RT</stp>
        <stp>[TCE.BB v1 10.12.2015 11.46.xlsm]GBP!R15C27</stp>
        <tr r="AA15" s="63"/>
      </tp>
      <tp>
        <v>-2.0355000000000002E-2</v>
        <stp/>
        <stp>##V3_BDPV12</stp>
        <stp>3BV5P 151 COMB Curncy</stp>
        <stp>DELTA_MID_RT</stp>
        <stp>[TCE.BB v1 10.12.2015 11.46.xlsm]GBP!R15C25</stp>
        <tr r="Y15" s="63"/>
      </tp>
      <tp>
        <v>-2.6964999999999999E-2</v>
        <stp/>
        <stp>##V3_BDPV12</stp>
        <stp>3BV5P 150 COMB Curncy</stp>
        <stp>DELTA_MID_RT</stp>
        <stp>[TCE.BB v1 10.12.2015 11.46.xlsm]GBP!R15C23</stp>
        <tr r="W15" s="63"/>
      </tp>
      <tp>
        <v>-0.93950500000000003</v>
        <stp/>
        <stp>##V3_BDPV12</stp>
        <stp>3BV5P 156 COMB Curncy</stp>
        <stp>DELTA_MID_RT</stp>
        <stp>[TCE.BB v1 10.12.2015 11.46.xlsm]GBP!R15C35</stp>
        <tr r="AI15" s="63"/>
      </tp>
      <tp>
        <v>-0.97126500000000004</v>
        <stp/>
        <stp>##V3_BDPV12</stp>
        <stp>3BV5P 157 COMB Curncy</stp>
        <stp>DELTA_MID_RT</stp>
        <stp>[TCE.BB v1 10.12.2015 11.46.xlsm]GBP!R15C37</stp>
        <tr r="AK15" s="63"/>
      </tp>
      <tp>
        <v>-0.62644500000000003</v>
        <stp/>
        <stp>##V3_BDPV12</stp>
        <stp>3BV5P 154 COMB Curncy</stp>
        <stp>DELTA_MID_RT</stp>
        <stp>[TCE.BB v1 10.12.2015 11.46.xlsm]GBP!R15C31</stp>
        <tr r="AE15" s="63"/>
      </tp>
      <tp>
        <v>-0.85905900000000002</v>
        <stp/>
        <stp>##V3_BDPV12</stp>
        <stp>3BV5P 155 COMB Curncy</stp>
        <stp>DELTA_MID_RT</stp>
        <stp>[TCE.BB v1 10.12.2015 11.46.xlsm]GBP!R15C33</stp>
        <tr r="AG15" s="63"/>
      </tp>
      <tp>
        <v>-1.1481E-2</v>
        <stp/>
        <stp>##V3_BDPV12</stp>
        <stp>3BV5P 148 COMB Curncy</stp>
        <stp>DELTA_MID_RT</stp>
        <stp>[TCE.BB v1 10.12.2015 11.46.xlsm]GBP!R15C19</stp>
        <tr r="S15" s="63"/>
      </tp>
      <tp>
        <v>-1.3220000000000001E-2</v>
        <stp/>
        <stp>##V3_BDPV12</stp>
        <stp>3BV5P 149 COMB Curncy</stp>
        <stp>DELTA_MID_RT</stp>
        <stp>[TCE.BB v1 10.12.2015 11.46.xlsm]GBP!R15C21</stp>
        <tr r="U15" s="63"/>
      </tp>
      <tp>
        <v>-1.0019999999999999E-2</v>
        <stp/>
        <stp>##V3_BDPV12</stp>
        <stp>3BV5P 147 COMB Curncy</stp>
        <stp>DELTA_MID_RT</stp>
        <stp>[TCE.BB v1 10.12.2015 11.46.xlsm]GBP!R15C17</stp>
        <tr r="Q15" s="63"/>
      </tp>
      <tp>
        <v>13.61102</v>
        <stp/>
        <stp>##V3_BDPV12</stp>
        <stp>3BV5C 148.5 COMB Curncy</stp>
        <stp>IVOL_MID_RT</stp>
        <stp>[TCE.BB v1 10.12.2015 11.46.xlsm]GBP!R110C2</stp>
        <tr r="B110" s="63"/>
      </tp>
      <tp>
        <v>13.61102</v>
        <stp/>
        <stp>##V3_BDPV12</stp>
        <stp>3BV5C 148.5 COMB Curncy</stp>
        <stp>IVOL_MID_RT</stp>
        <stp>[TCE.BB v1 10.12.2015 11.46.xlsm]GBP!R260C2</stp>
        <tr r="B260" s="63"/>
      </tp>
      <tp>
        <v>8.5124340000000007</v>
        <stp/>
        <stp>##V3_BDPV12</stp>
        <stp>3BV5C 152.5 COMB Curncy</stp>
        <stp>IVOL_MID_RT</stp>
        <stp>[TCE.BB v1 10.12.2015 11.46.xlsm]GBP!R228C2</stp>
        <tr r="B228" s="63"/>
      </tp>
      <tp>
        <v>8.5124340000000007</v>
        <stp/>
        <stp>##V3_BDPV12</stp>
        <stp>3BV5C 152.5 COMB Curncy</stp>
        <stp>IVOL_MID_RT</stp>
        <stp>[TCE.BB v1 10.12.2015 11.46.xlsm]GBP!R78C2</stp>
        <tr r="B78" s="63"/>
      </tp>
      <tp>
        <v>13.111627</v>
        <stp/>
        <stp>##V3_BDPV12</stp>
        <stp>3BV5C 157.5 COMB Curncy</stp>
        <stp>IVOL_MID_RT</stp>
        <stp>[TCE.BB v1 10.12.2015 11.46.xlsm]GBP!R38C2</stp>
        <tr r="B38" s="63"/>
      </tp>
      <tp>
        <v>12.254357000000001</v>
        <stp/>
        <stp>##V3_BDPV12</stp>
        <stp>3BV5C 149.5 COMB Curncy</stp>
        <stp>IVOL_MID_RT</stp>
        <stp>[TCE.BB v1 10.12.2015 11.46.xlsm]GBP!R102C2</stp>
        <tr r="B102" s="63"/>
      </tp>
      <tp>
        <v>12.254357000000001</v>
        <stp/>
        <stp>##V3_BDPV12</stp>
        <stp>3BV5C 149.5 COMB Curncy</stp>
        <stp>IVOL_MID_RT</stp>
        <stp>[TCE.BB v1 10.12.2015 11.46.xlsm]GBP!R252C2</stp>
        <tr r="B252" s="63"/>
      </tp>
      <tp>
        <v>13.111627</v>
        <stp/>
        <stp>##V3_BDPV12</stp>
        <stp>3BV5C 157.5 COMB Curncy</stp>
        <stp>IVOL_MID_RT</stp>
        <stp>[TCE.BB v1 10.12.2015 11.46.xlsm]GBP!R188C2</stp>
        <tr r="B188" s="63"/>
      </tp>
      <tp>
        <v>16.037217999999999</v>
        <stp/>
        <stp>##V3_BDPV12</stp>
        <stp>3BV5C 147.5 COMB Curncy</stp>
        <stp>IVOL_MID_RT</stp>
        <stp>[TCE.BB v1 10.12.2015 11.46.xlsm]GBP!R118C2</stp>
        <tr r="B118" s="63"/>
      </tp>
      <tp>
        <v>16.037217999999999</v>
        <stp/>
        <stp>##V3_BDPV12</stp>
        <stp>3BV5C 147.5 COMB Curncy</stp>
        <stp>IVOL_MID_RT</stp>
        <stp>[TCE.BB v1 10.12.2015 11.46.xlsm]GBP!R268C2</stp>
        <tr r="B268" s="63"/>
      </tp>
      <tp>
        <v>10.203125999999999</v>
        <stp/>
        <stp>##V3_BDPV12</stp>
        <stp>3BV5C 156.5 COMB Curncy</stp>
        <stp>IVOL_MID_RT</stp>
        <stp>[TCE.BB v1 10.12.2015 11.46.xlsm]GBP!R196C2</stp>
        <tr r="B196" s="63"/>
      </tp>
      <tp>
        <v>8.4395190000000007</v>
        <stp/>
        <stp>##V3_BDPV12</stp>
        <stp>3BV5C 154.5 COMB Curncy</stp>
        <stp>IVOL_MID_RT</stp>
        <stp>[TCE.BB v1 10.12.2015 11.46.xlsm]GBP!R62C2</stp>
        <tr r="B62" s="63"/>
      </tp>
      <tp>
        <v>9.2767750000000007</v>
        <stp/>
        <stp>##V3_BDPV12</stp>
        <stp>3BV5C 155.5 COMB Curncy</stp>
        <stp>IVOL_MID_RT</stp>
        <stp>[TCE.BB v1 10.12.2015 11.46.xlsm]GBP!R204C2</stp>
        <tr r="B204" s="63"/>
      </tp>
      <tp>
        <v>8.2036809999999996</v>
        <stp/>
        <stp>##V3_BDPV12</stp>
        <stp>3BV5C 153.5 COMB Curncy</stp>
        <stp>IVOL_MID_RT</stp>
        <stp>[TCE.BB v1 10.12.2015 11.46.xlsm]GBP!R70C2</stp>
        <tr r="B70" s="63"/>
      </tp>
      <tp>
        <v>8.2036809999999996</v>
        <stp/>
        <stp>##V3_BDPV12</stp>
        <stp>3BV5C 153.5 COMB Curncy</stp>
        <stp>IVOL_MID_RT</stp>
        <stp>[TCE.BB v1 10.12.2015 11.46.xlsm]GBP!R220C2</stp>
        <tr r="B220" s="63"/>
      </tp>
      <tp>
        <v>-2.9954000000000001E-2</v>
        <stp/>
        <stp>##V3_BDPV12</stp>
        <stp>3BV5P 150.5 COMB Curncy</stp>
        <stp>DELTA_MID_RT</stp>
        <stp>[TCE.BB v1 10.12.2015 11.46.xlsm]GBP!R15C24</stp>
        <tr r="X15" s="63"/>
      </tp>
      <tp>
        <v>-6.5323999999999993E-2</v>
        <stp/>
        <stp>##V3_BDPV12</stp>
        <stp>3BV5P 151.5 COMB Curncy</stp>
        <stp>DELTA_MID_RT</stp>
        <stp>[TCE.BB v1 10.12.2015 11.46.xlsm]GBP!R15C26</stp>
        <tr r="Z15" s="63"/>
      </tp>
      <tp>
        <v>-1.2318000000000001E-2</v>
        <stp/>
        <stp>##V3_BDPV12</stp>
        <stp>3BV5P 148.5 COMB Curncy</stp>
        <stp>DELTA_MID_RT</stp>
        <stp>[TCE.BB v1 10.12.2015 11.46.xlsm]GBP!R15C20</stp>
        <tr r="T15" s="63"/>
      </tp>
      <tp>
        <v>-1.4453000000000001E-2</v>
        <stp/>
        <stp>##V3_BDPV12</stp>
        <stp>3BV5P 149.5 COMB Curncy</stp>
        <stp>DELTA_MID_RT</stp>
        <stp>[TCE.BB v1 10.12.2015 11.46.xlsm]GBP!R15C22</stp>
        <tr r="V15" s="63"/>
      </tp>
      <tp>
        <v>-0.20353099999999999</v>
        <stp/>
        <stp>##V3_BDPV12</stp>
        <stp>3BV5P 152.5 COMB Curncy</stp>
        <stp>DELTA_MID_RT</stp>
        <stp>[TCE.BB v1 10.12.2015 11.46.xlsm]GBP!R15C28</stp>
        <tr r="AB15" s="63"/>
      </tp>
      <tp>
        <v>-0.90430100000000002</v>
        <stp/>
        <stp>##V3_BDPV12</stp>
        <stp>3BV5P 155.5 COMB Curncy</stp>
        <stp>DELTA_MID_RT</stp>
        <stp>[TCE.BB v1 10.12.2015 11.46.xlsm]GBP!R15C34</stp>
        <tr r="AH15" s="63"/>
      </tp>
      <tp>
        <v>-0.957094</v>
        <stp/>
        <stp>##V3_BDPV12</stp>
        <stp>3BV5P 156.5 COMB Curncy</stp>
        <stp>DELTA_MID_RT</stp>
        <stp>[TCE.BB v1 10.12.2015 11.46.xlsm]GBP!R15C36</stp>
        <tr r="AJ15" s="63"/>
      </tp>
      <tp>
        <v>-0.47907899999999998</v>
        <stp/>
        <stp>##V3_BDPV12</stp>
        <stp>3BV5P 153.5 COMB Curncy</stp>
        <stp>DELTA_MID_RT</stp>
        <stp>[TCE.BB v1 10.12.2015 11.46.xlsm]GBP!R15C30</stp>
        <tr r="AD15" s="63"/>
      </tp>
      <tp>
        <v>-0.75816499999999998</v>
        <stp/>
        <stp>##V3_BDPV12</stp>
        <stp>3BV5P 154.5 COMB Curncy</stp>
        <stp>DELTA_MID_RT</stp>
        <stp>[TCE.BB v1 10.12.2015 11.46.xlsm]GBP!R15C32</stp>
        <tr r="AF15" s="63"/>
      </tp>
      <tp>
        <v>-0.97896099999999997</v>
        <stp/>
        <stp>##V3_BDPV12</stp>
        <stp>3BV5P 157.5 COMB Curncy</stp>
        <stp>DELTA_MID_RT</stp>
        <stp>[TCE.BB v1 10.12.2015 11.46.xlsm]GBP!R15C38</stp>
        <tr r="AL15" s="63"/>
      </tp>
      <tp>
        <v>-1.0691000000000001E-2</v>
        <stp/>
        <stp>##V3_BDPV12</stp>
        <stp>3BV5P 147.5 COMB Curncy</stp>
        <stp>DELTA_MID_RT</stp>
        <stp>[TCE.BB v1 10.12.2015 11.46.xlsm]GBP!R15C18</stp>
        <tr r="R15" s="63"/>
      </tp>
      <tp>
        <v>5.1582049999999997</v>
        <stp/>
        <stp>##V3_BDPV12</stp>
        <stp>3BV5C 150.5 COMB Curncy</stp>
        <stp>IVOL_MID_RT</stp>
        <stp>[TCE.BB v1 10.12.2015 11.46.xlsm]GBP!R244C2</stp>
        <tr r="B244" s="63"/>
      </tp>
      <tp>
        <v>153.57</v>
        <stp/>
        <stp>##V3_BDPV12</stp>
        <stp>BPZ5 Curncy</stp>
        <stp>LAST_PRICE</stp>
        <stp>[TCE.BB v1 10.12.2015 11.46.xlsm]GBP!R164C3</stp>
        <tr r="C164" s="63"/>
      </tp>
      <tp>
        <v>153.57</v>
        <stp/>
        <stp>##V3_BDPV12</stp>
        <stp>BPZ5 Curncy</stp>
        <stp>LAST_PRICE</stp>
        <stp>[TCE.BB v1 10.12.2015 11.46.xlsm]GBP!R164C2</stp>
        <tr r="B164" s="63"/>
      </tp>
      <tp>
        <v>9.0300989999999999</v>
        <stp/>
        <stp>##V3_BDPV12</stp>
        <stp>3BV5C 151.5 COMB Curncy</stp>
        <stp>IVOL_MID_RT</stp>
        <stp>[TCE.BB v1 10.12.2015 11.46.xlsm]GBP!R86C2</stp>
        <tr r="B86" s="63"/>
      </tp>
      <tp>
        <v>10.203125999999999</v>
        <stp/>
        <stp>##V3_BDPV12</stp>
        <stp>3BV5C 156.5 COMB Curncy</stp>
        <stp>IVOL_MID_RT</stp>
        <stp>[TCE.BB v1 10.12.2015 11.46.xlsm]GBP!R46C2</stp>
        <tr r="B46" s="63"/>
      </tp>
      <tp>
        <v>8.4395190000000007</v>
        <stp/>
        <stp>##V3_BDPV12</stp>
        <stp>3BV5C 154.5 COMB Curncy</stp>
        <stp>IVOL_MID_RT</stp>
        <stp>[TCE.BB v1 10.12.2015 11.46.xlsm]GBP!R212C2</stp>
        <tr r="B212" s="63"/>
      </tp>
      <tp>
        <v>5.1582049999999997</v>
        <stp/>
        <stp>##V3_BDPV12</stp>
        <stp>3BV5C 150.5 COMB Curncy</stp>
        <stp>IVOL_MID_RT</stp>
        <stp>[TCE.BB v1 10.12.2015 11.46.xlsm]GBP!R94C2</stp>
        <tr r="B94" s="63"/>
      </tp>
      <tp>
        <v>9.2767750000000007</v>
        <stp/>
        <stp>##V3_BDPV12</stp>
        <stp>3BV5C 155.5 COMB Curncy</stp>
        <stp>IVOL_MID_RT</stp>
        <stp>[TCE.BB v1 10.12.2015 11.46.xlsm]GBP!R54C2</stp>
        <tr r="B54" s="63"/>
      </tp>
      <tp>
        <v>9.0300989999999999</v>
        <stp/>
        <stp>##V3_BDPV12</stp>
        <stp>3BV5C 151.5 COMB Curncy</stp>
        <stp>IVOL_MID_RT</stp>
        <stp>[TCE.BB v1 10.12.2015 11.46.xlsm]GBP!R236C2</stp>
        <tr r="B236" s="6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1"/>
  <sheetViews>
    <sheetView workbookViewId="0">
      <selection activeCell="E60" sqref="E60"/>
    </sheetView>
  </sheetViews>
  <sheetFormatPr defaultRowHeight="12"/>
  <cols>
    <col min="5" max="5" width="16.85546875" customWidth="1"/>
  </cols>
  <sheetData>
    <row r="1" spans="1:6">
      <c r="A1" t="s">
        <v>29</v>
      </c>
    </row>
    <row r="2" spans="1:6">
      <c r="A2" t="s">
        <v>30</v>
      </c>
    </row>
    <row r="3" spans="1:6">
      <c r="A3" s="24" t="s">
        <v>20</v>
      </c>
      <c r="E3" s="56"/>
      <c r="F3" s="4"/>
    </row>
    <row r="4" spans="1:6">
      <c r="A4" t="s">
        <v>21</v>
      </c>
      <c r="C4" s="4"/>
      <c r="D4" s="4"/>
      <c r="E4" s="14" t="s">
        <v>19</v>
      </c>
    </row>
    <row r="5" spans="1:6">
      <c r="A5" t="s">
        <v>67</v>
      </c>
      <c r="C5" s="4"/>
      <c r="D5" s="4"/>
      <c r="E5" s="14" t="s">
        <v>28</v>
      </c>
      <c r="F5" s="14" t="s">
        <v>59</v>
      </c>
    </row>
    <row r="6" spans="1:6">
      <c r="A6" t="s">
        <v>69</v>
      </c>
      <c r="C6" s="4"/>
      <c r="D6" s="4"/>
      <c r="E6" s="14" t="s">
        <v>28</v>
      </c>
      <c r="F6" s="14" t="s">
        <v>95</v>
      </c>
    </row>
    <row r="7" spans="1:6">
      <c r="A7" t="s">
        <v>68</v>
      </c>
      <c r="C7" s="4"/>
      <c r="D7" s="4"/>
      <c r="E7" s="15">
        <v>40831.833333333336</v>
      </c>
      <c r="F7" s="4"/>
    </row>
    <row r="8" spans="1:6">
      <c r="A8" t="s">
        <v>70</v>
      </c>
      <c r="C8" s="4"/>
      <c r="D8" s="4"/>
      <c r="E8" s="15">
        <v>40831.833333333336</v>
      </c>
      <c r="F8" s="4"/>
    </row>
    <row r="9" spans="1:6">
      <c r="C9" s="4"/>
      <c r="D9" s="4"/>
      <c r="E9" s="15"/>
      <c r="F9" s="4"/>
    </row>
    <row r="10" spans="1:6">
      <c r="A10" t="s">
        <v>22</v>
      </c>
      <c r="C10" s="4"/>
      <c r="D10" s="4"/>
      <c r="E10" s="14">
        <v>10</v>
      </c>
      <c r="F10" s="4"/>
    </row>
    <row r="11" spans="1:6">
      <c r="A11" t="s">
        <v>23</v>
      </c>
      <c r="C11" s="4"/>
      <c r="D11" s="4"/>
      <c r="E11" s="14">
        <v>12</v>
      </c>
      <c r="F11" s="4"/>
    </row>
    <row r="12" spans="1:6">
      <c r="A12" t="s">
        <v>31</v>
      </c>
    </row>
    <row r="14" spans="1:6">
      <c r="A14" t="s">
        <v>32</v>
      </c>
    </row>
    <row r="15" spans="1:6">
      <c r="A15" t="s">
        <v>33</v>
      </c>
    </row>
    <row r="16" spans="1:6">
      <c r="A16" t="s">
        <v>34</v>
      </c>
    </row>
    <row r="17" spans="1:1">
      <c r="A17" t="s">
        <v>35</v>
      </c>
    </row>
    <row r="18" spans="1:1">
      <c r="A18" t="s">
        <v>36</v>
      </c>
    </row>
    <row r="19" spans="1:1">
      <c r="A19" t="s">
        <v>37</v>
      </c>
    </row>
    <row r="20" spans="1:1">
      <c r="A20" t="s">
        <v>38</v>
      </c>
    </row>
    <row r="21" spans="1:1">
      <c r="A21" t="s">
        <v>39</v>
      </c>
    </row>
    <row r="22" spans="1:1">
      <c r="A22" t="s">
        <v>40</v>
      </c>
    </row>
    <row r="23" spans="1:1">
      <c r="A23" t="s">
        <v>41</v>
      </c>
    </row>
    <row r="25" spans="1:1">
      <c r="A25" t="s">
        <v>42</v>
      </c>
    </row>
    <row r="26" spans="1:1">
      <c r="A26" t="s">
        <v>43</v>
      </c>
    </row>
    <row r="27" spans="1:1">
      <c r="A27" t="s">
        <v>44</v>
      </c>
    </row>
    <row r="28" spans="1:1">
      <c r="A28" t="s">
        <v>45</v>
      </c>
    </row>
    <row r="29" spans="1:1">
      <c r="A29" t="s">
        <v>46</v>
      </c>
    </row>
    <row r="31" spans="1:1">
      <c r="A31" t="s">
        <v>47</v>
      </c>
    </row>
    <row r="32" spans="1:1">
      <c r="A32" t="s">
        <v>48</v>
      </c>
    </row>
    <row r="33" spans="1:1">
      <c r="A33" t="s">
        <v>49</v>
      </c>
    </row>
    <row r="34" spans="1:1">
      <c r="A34" t="s">
        <v>50</v>
      </c>
    </row>
    <row r="35" spans="1:1">
      <c r="A35" t="s">
        <v>51</v>
      </c>
    </row>
    <row r="36" spans="1:1">
      <c r="A36" t="s">
        <v>52</v>
      </c>
    </row>
    <row r="37" spans="1:1">
      <c r="A37" t="s">
        <v>53</v>
      </c>
    </row>
    <row r="38" spans="1:1">
      <c r="A38" t="s">
        <v>54</v>
      </c>
    </row>
    <row r="39" spans="1:1">
      <c r="A39" t="s">
        <v>55</v>
      </c>
    </row>
    <row r="40" spans="1:1">
      <c r="A40" t="s">
        <v>56</v>
      </c>
    </row>
    <row r="41" spans="1:1">
      <c r="A41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L275"/>
  <sheetViews>
    <sheetView tabSelected="1" topLeftCell="R42" zoomScale="80" zoomScaleNormal="80" workbookViewId="0">
      <selection activeCell="AB64" sqref="AB64"/>
    </sheetView>
  </sheetViews>
  <sheetFormatPr defaultRowHeight="12"/>
  <cols>
    <col min="1" max="1" width="15.5703125" customWidth="1"/>
    <col min="2" max="2" width="19.42578125" customWidth="1"/>
    <col min="3" max="3" width="17.42578125" customWidth="1"/>
    <col min="4" max="7" width="14.5703125" customWidth="1"/>
    <col min="8" max="8" width="7.140625" style="4" customWidth="1"/>
    <col min="9" max="9" width="22.28515625" customWidth="1"/>
    <col min="10" max="10" width="14.5703125" style="4" customWidth="1"/>
    <col min="11" max="11" width="14.5703125" style="4" hidden="1" customWidth="1"/>
    <col min="12" max="12" width="15.5703125" style="56" customWidth="1"/>
    <col min="13" max="13" width="12" style="4" customWidth="1"/>
    <col min="14" max="14" width="14" style="4" customWidth="1"/>
    <col min="15" max="16" width="14" style="42" customWidth="1"/>
    <col min="17" max="17" width="10.5703125" customWidth="1"/>
    <col min="18" max="18" width="12.140625" customWidth="1"/>
    <col min="19" max="19" width="10.5703125" customWidth="1"/>
    <col min="20" max="20" width="12.140625" customWidth="1"/>
    <col min="21" max="21" width="10.5703125" customWidth="1"/>
    <col min="22" max="22" width="12.140625" customWidth="1"/>
    <col min="23" max="23" width="10.5703125" customWidth="1"/>
    <col min="24" max="24" width="12.140625" customWidth="1"/>
    <col min="25" max="25" width="10.42578125" customWidth="1"/>
    <col min="26" max="26" width="11.85546875" customWidth="1"/>
    <col min="27" max="27" width="10.5703125" customWidth="1"/>
    <col min="28" max="28" width="12.140625" customWidth="1"/>
    <col min="29" max="29" width="10.5703125" customWidth="1"/>
    <col min="30" max="30" width="12.140625" customWidth="1"/>
    <col min="31" max="31" width="10.5703125" customWidth="1"/>
    <col min="32" max="32" width="12.140625" customWidth="1"/>
    <col min="33" max="33" width="10.5703125" customWidth="1"/>
    <col min="34" max="34" width="12.140625" customWidth="1"/>
    <col min="35" max="35" width="10.5703125" customWidth="1"/>
    <col min="36" max="36" width="12.140625" customWidth="1"/>
    <col min="37" max="37" width="10.5703125" customWidth="1"/>
    <col min="38" max="38" width="12.140625" customWidth="1"/>
  </cols>
  <sheetData>
    <row r="1" spans="1:38">
      <c r="H1" s="24" t="s">
        <v>20</v>
      </c>
      <c r="J1"/>
      <c r="K1"/>
    </row>
    <row r="2" spans="1:38">
      <c r="H2" t="s">
        <v>21</v>
      </c>
      <c r="L2" s="14" t="s">
        <v>19</v>
      </c>
      <c r="M2" s="13">
        <f>_xll.BDP($A$11,$B$11)</f>
        <v>153.57</v>
      </c>
      <c r="T2" s="2" t="s">
        <v>0</v>
      </c>
    </row>
    <row r="3" spans="1:38">
      <c r="H3" t="s">
        <v>67</v>
      </c>
      <c r="L3" s="14" t="s">
        <v>28</v>
      </c>
      <c r="M3" s="14" t="s">
        <v>59</v>
      </c>
    </row>
    <row r="4" spans="1:38">
      <c r="H4" t="s">
        <v>69</v>
      </c>
      <c r="L4" s="14" t="s">
        <v>28</v>
      </c>
      <c r="M4" s="14" t="s">
        <v>95</v>
      </c>
    </row>
    <row r="5" spans="1:38">
      <c r="H5" t="s">
        <v>68</v>
      </c>
      <c r="L5" s="15">
        <v>40831.833333333336</v>
      </c>
    </row>
    <row r="6" spans="1:38">
      <c r="H6" t="s">
        <v>70</v>
      </c>
      <c r="L6" s="15">
        <v>40831.833333333336</v>
      </c>
    </row>
    <row r="7" spans="1:38">
      <c r="H7"/>
      <c r="L7" s="15"/>
    </row>
    <row r="8" spans="1:38">
      <c r="H8" t="s">
        <v>22</v>
      </c>
      <c r="L8" s="14">
        <v>10</v>
      </c>
    </row>
    <row r="9" spans="1:38">
      <c r="H9" t="s">
        <v>23</v>
      </c>
      <c r="L9" s="14">
        <v>12</v>
      </c>
    </row>
    <row r="10" spans="1:38">
      <c r="B10" t="s">
        <v>71</v>
      </c>
      <c r="C10" t="s">
        <v>72</v>
      </c>
    </row>
    <row r="11" spans="1:38">
      <c r="A11" s="4" t="str">
        <f>$L$2</f>
        <v>BPZ5 Curncy</v>
      </c>
      <c r="B11" t="s">
        <v>24</v>
      </c>
    </row>
    <row r="12" spans="1:38" ht="18">
      <c r="A12" t="s">
        <v>5</v>
      </c>
      <c r="B12" s="1">
        <f ca="1">NOW()</f>
        <v>40827.537744097222</v>
      </c>
      <c r="C12" s="1">
        <f ca="1">NOW()</f>
        <v>40827.537744097222</v>
      </c>
      <c r="D12" s="1"/>
      <c r="E12" s="30">
        <f>1/365</f>
        <v>2.7397260273972603E-3</v>
      </c>
      <c r="F12" s="30">
        <v>0.19858680555626052</v>
      </c>
      <c r="G12" s="1"/>
      <c r="M12" s="8"/>
      <c r="N12" s="8"/>
      <c r="O12" s="44"/>
      <c r="P12" s="8" t="s">
        <v>96</v>
      </c>
      <c r="U12" s="7"/>
      <c r="V12" s="7"/>
      <c r="W12" s="7"/>
      <c r="X12" s="7"/>
    </row>
    <row r="13" spans="1:38">
      <c r="A13" t="s">
        <v>6</v>
      </c>
      <c r="B13" s="17">
        <f>$L$5</f>
        <v>40831.833333333336</v>
      </c>
      <c r="C13" s="17">
        <f>$L$6</f>
        <v>40831.833333333336</v>
      </c>
      <c r="D13" s="17"/>
      <c r="E13" s="30">
        <f>SQRT(1/365)</f>
        <v>5.2342392259021368E-2</v>
      </c>
      <c r="F13" s="30">
        <f>SQRT(0.2)</f>
        <v>0.44721359549995793</v>
      </c>
      <c r="G13" s="17"/>
      <c r="J13" s="4" t="s">
        <v>0</v>
      </c>
      <c r="P13" s="4"/>
    </row>
    <row r="14" spans="1:38">
      <c r="A14" t="s">
        <v>4</v>
      </c>
      <c r="B14" s="13">
        <f>_xll.BDP($A$11,$B$11)</f>
        <v>153.57</v>
      </c>
      <c r="C14" s="13">
        <f>_xll.BDP($A$11,$B$11)</f>
        <v>153.57</v>
      </c>
      <c r="D14" s="4"/>
      <c r="E14" s="4"/>
      <c r="F14" s="4"/>
      <c r="G14" s="4"/>
      <c r="P14" s="4"/>
    </row>
    <row r="15" spans="1:38">
      <c r="A15" t="s">
        <v>3</v>
      </c>
      <c r="B15">
        <v>0</v>
      </c>
      <c r="C15">
        <v>0</v>
      </c>
      <c r="P15" s="4" t="s">
        <v>26</v>
      </c>
      <c r="Q15" s="16">
        <f>_xll.BDP(Q$23, $P15)/-1</f>
        <v>1.0019999999999999E-2</v>
      </c>
      <c r="R15" s="16">
        <f>_xll.BDP(R$23, $P15)/-1</f>
        <v>1.0691000000000001E-2</v>
      </c>
      <c r="S15" s="16">
        <f>_xll.BDP(S$23, $P15)/-1</f>
        <v>1.1481E-2</v>
      </c>
      <c r="T15" s="16">
        <f>_xll.BDP(T$23, $P15)/-1</f>
        <v>1.2318000000000001E-2</v>
      </c>
      <c r="U15" s="16">
        <f>_xll.BDP(U$23, $P15)/-1</f>
        <v>1.3220000000000001E-2</v>
      </c>
      <c r="V15" s="16">
        <f>_xll.BDP(V$23, $P15)/-1</f>
        <v>1.4453000000000001E-2</v>
      </c>
      <c r="W15" s="16">
        <f>_xll.BDP(W$23, $P15)/-1</f>
        <v>2.6964999999999999E-2</v>
      </c>
      <c r="X15" s="16">
        <f>_xll.BDP(X$23, $P15)/-1</f>
        <v>2.9954000000000001E-2</v>
      </c>
      <c r="Y15" s="16">
        <f>_xll.BDP(Y$23, $P15)/-1</f>
        <v>2.0355000000000002E-2</v>
      </c>
      <c r="Z15" s="16">
        <f>_xll.BDP(Z$23, $P15)/-1</f>
        <v>6.5323999999999993E-2</v>
      </c>
      <c r="AA15" s="16">
        <f>_xll.BDP(AA$23, $P15)/-1</f>
        <v>0.112386</v>
      </c>
      <c r="AB15" s="16">
        <f>_xll.BDP(AB$23, $P15)/-1</f>
        <v>0.20353099999999999</v>
      </c>
      <c r="AC15" s="16">
        <f>_xll.BDP(AC$23, $P15)/-1</f>
        <v>0.326345</v>
      </c>
      <c r="AD15" s="16">
        <f>_xll.BDP(AD$23, $P15)/-1</f>
        <v>0.47907899999999998</v>
      </c>
      <c r="AE15" s="16">
        <f>_xll.BDP(AE$23, $P15)/-1</f>
        <v>0.62644500000000003</v>
      </c>
      <c r="AF15" s="16">
        <f>_xll.BDP(AF$23, $P15)/-1</f>
        <v>0.75816499999999998</v>
      </c>
      <c r="AG15" s="16">
        <f>_xll.BDP(AG$23, $P15)/-1</f>
        <v>0.85905900000000002</v>
      </c>
      <c r="AH15" s="16">
        <f>_xll.BDP(AH$23, $P15)/-1</f>
        <v>0.90430100000000002</v>
      </c>
      <c r="AI15" s="16">
        <f>_xll.BDP(AI$23, $P15)/-1</f>
        <v>0.93950500000000003</v>
      </c>
      <c r="AJ15" s="16">
        <f>_xll.BDP(AJ$23, $P15)/-1</f>
        <v>0.957094</v>
      </c>
      <c r="AK15" s="16">
        <f>_xll.BDP(AK$23, $P15)/-1</f>
        <v>0.97126500000000004</v>
      </c>
      <c r="AL15" s="16">
        <f>_xll.BDP(AL$23, $P15)/-1</f>
        <v>0.97896099999999997</v>
      </c>
    </row>
    <row r="16" spans="1:38">
      <c r="A16" t="s">
        <v>2</v>
      </c>
      <c r="B16">
        <v>0.01</v>
      </c>
      <c r="C16">
        <v>0.01</v>
      </c>
      <c r="M16"/>
      <c r="P16" t="s">
        <v>25</v>
      </c>
      <c r="Q16" s="12">
        <f>_xll.BDP(Q$23, $P16)/100</f>
        <v>0.18451069</v>
      </c>
      <c r="R16" s="12">
        <f>_xll.BDP(R$23, $P16)/100</f>
        <v>0.17526269999999999</v>
      </c>
      <c r="S16" s="12">
        <f>_xll.BDP(S$23, $P16)/100</f>
        <v>0.15888185999999999</v>
      </c>
      <c r="T16" s="12">
        <f>_xll.BDP(T$23, $P16)/100</f>
        <v>0.14945693999999998</v>
      </c>
      <c r="U16" s="12">
        <f>_xll.BDP(U$23, $P16)/100</f>
        <v>0.13635097999999998</v>
      </c>
      <c r="V16" s="12">
        <f>_xll.BDP(V$23, $P16)/100</f>
        <v>0.12312648</v>
      </c>
      <c r="W16" s="12">
        <f>_xll.BDP(W$23, $P16)/100</f>
        <v>0.12276263999999999</v>
      </c>
      <c r="X16" s="12">
        <f>_xll.BDP(X$23, $P16)/100</f>
        <v>0.1082128</v>
      </c>
      <c r="Y16" s="12">
        <f>_xll.BDP(Y$23, $P16)/100</f>
        <v>8.2244770000000009E-2</v>
      </c>
      <c r="Z16" s="12">
        <f>_xll.BDP(Z$23, $P16)/100</f>
        <v>9.0471120000000002E-2</v>
      </c>
      <c r="AA16" s="12">
        <f>_xll.BDP(AA$23, $P16)/100</f>
        <v>8.3030389999999996E-2</v>
      </c>
      <c r="AB16" s="12">
        <f>_xll.BDP(AB$23, $P16)/100</f>
        <v>8.2095780000000007E-2</v>
      </c>
      <c r="AC16" s="12">
        <f>_xll.BDP(AC$23, $P16)/100</f>
        <v>8.1611989999999995E-2</v>
      </c>
      <c r="AD16" s="12">
        <f>_xll.BDP(AD$23, $P16)/100</f>
        <v>8.0394510000000002E-2</v>
      </c>
      <c r="AE16" s="12">
        <f>_xll.BDP(AE$23, $P16)/100</f>
        <v>8.3304530000000002E-2</v>
      </c>
      <c r="AF16" s="12">
        <f>_xll.BDP(AF$23, $P16)/100</f>
        <v>8.4420249999999988E-2</v>
      </c>
      <c r="AG16" s="12">
        <f>_xll.BDP(AG$23, $P16)/100</f>
        <v>8.6046869999999998E-2</v>
      </c>
      <c r="AH16" s="12">
        <f>_xll.BDP(AH$23, $P16)/100</f>
        <v>9.4401259999999987E-2</v>
      </c>
      <c r="AI16" s="12">
        <f>_xll.BDP(AI$23, $P16)/100</f>
        <v>0.10012288</v>
      </c>
      <c r="AJ16" s="12">
        <f>_xll.BDP(AJ$23, $P16)/100</f>
        <v>0.10945448000000001</v>
      </c>
      <c r="AK16" s="12">
        <f>_xll.BDP(AK$23, $P16)/100</f>
        <v>0.11547354</v>
      </c>
      <c r="AL16" s="12">
        <f>_xll.BDP(AL$23, $P16)/100</f>
        <v>0.12332660000000001</v>
      </c>
    </row>
    <row r="17" spans="1:38">
      <c r="P17" s="4" t="s">
        <v>10</v>
      </c>
      <c r="Q17" s="6">
        <f ca="1">Q16*(MIN(SQRT(1/365),(SQRT(($B$24/365)))))</f>
        <v>9.6577309119626909E-3</v>
      </c>
      <c r="R17" s="6">
        <f t="shared" ref="R17:AL17" ca="1" si="0">R16*(MIN(SQRT(1/365),(SQRT(($B$24/365)))))</f>
        <v>9.173668991775184E-3</v>
      </c>
      <c r="S17" s="6">
        <f t="shared" ca="1" si="0"/>
        <v>8.3162566389629166E-3</v>
      </c>
      <c r="T17" s="6">
        <f t="shared" ca="1" si="0"/>
        <v>7.822933779313021E-3</v>
      </c>
      <c r="U17" s="6">
        <f t="shared" ca="1" si="0"/>
        <v>7.1369364800619763E-3</v>
      </c>
      <c r="V17" s="6">
        <f t="shared" ca="1" si="0"/>
        <v>6.4447345136325494E-3</v>
      </c>
      <c r="W17" s="6">
        <f t="shared" ca="1" si="0"/>
        <v>6.4256902576330264E-3</v>
      </c>
      <c r="X17" s="6">
        <f t="shared" ca="1" si="0"/>
        <v>5.6641168250470275E-3</v>
      </c>
      <c r="Y17" s="6">
        <f t="shared" ca="1" si="0"/>
        <v>4.3048880125929933E-3</v>
      </c>
      <c r="Z17" s="6">
        <f t="shared" ca="1" si="0"/>
        <v>4.7354748511529935E-3</v>
      </c>
      <c r="AA17" s="6">
        <f t="shared" ca="1" si="0"/>
        <v>4.3460092427995249E-3</v>
      </c>
      <c r="AB17" s="6">
        <f t="shared" ca="1" si="0"/>
        <v>4.2970895195703213E-3</v>
      </c>
      <c r="AC17" s="6">
        <f t="shared" ca="1" si="0"/>
        <v>4.2717667936193289E-3</v>
      </c>
      <c r="AD17" s="6">
        <f t="shared" ca="1" si="0"/>
        <v>4.2080409778918158E-3</v>
      </c>
      <c r="AE17" s="6">
        <f t="shared" ca="1" si="0"/>
        <v>4.3603583862134136E-3</v>
      </c>
      <c r="AF17" s="6">
        <f t="shared" ca="1" si="0"/>
        <v>4.4187578401046479E-3</v>
      </c>
      <c r="AG17" s="6">
        <f t="shared" ca="1" si="0"/>
        <v>4.5038990222010175E-3</v>
      </c>
      <c r="AH17" s="6">
        <f t="shared" ca="1" si="0"/>
        <v>4.9411877806658632E-3</v>
      </c>
      <c r="AI17" s="6">
        <f t="shared" ca="1" si="0"/>
        <v>5.2406710590629253E-3</v>
      </c>
      <c r="AJ17" s="6">
        <f t="shared" ca="1" si="0"/>
        <v>5.7291093266672094E-3</v>
      </c>
      <c r="AK17" s="6">
        <f t="shared" ca="1" si="0"/>
        <v>6.0441613262177942E-3</v>
      </c>
      <c r="AL17" s="6">
        <f t="shared" ca="1" si="0"/>
        <v>6.4552092731714255E-3</v>
      </c>
    </row>
    <row r="18" spans="1:38">
      <c r="P18" s="4" t="s">
        <v>16</v>
      </c>
      <c r="Q18" s="11">
        <f>($B$14-Q22)/100</f>
        <v>6.5699999999999925E-2</v>
      </c>
      <c r="R18" s="11">
        <f t="shared" ref="R18:AL18" si="1">($B$14-R22)/100</f>
        <v>6.0699999999999935E-2</v>
      </c>
      <c r="S18" s="11">
        <f t="shared" si="1"/>
        <v>5.5699999999999646E-2</v>
      </c>
      <c r="T18" s="11">
        <f t="shared" si="1"/>
        <v>5.0699999999999648E-2</v>
      </c>
      <c r="U18" s="11">
        <f t="shared" si="1"/>
        <v>4.5699999999999366E-2</v>
      </c>
      <c r="V18" s="11">
        <f t="shared" si="1"/>
        <v>4.0699999999999362E-2</v>
      </c>
      <c r="W18" s="11">
        <f t="shared" si="1"/>
        <v>3.5699999999999364E-2</v>
      </c>
      <c r="X18" s="11">
        <f t="shared" si="1"/>
        <v>3.0699999999999079E-2</v>
      </c>
      <c r="Y18" s="11">
        <f t="shared" si="1"/>
        <v>2.5699999999999078E-2</v>
      </c>
      <c r="Z18" s="11">
        <f t="shared" si="1"/>
        <v>2.0699999999998796E-2</v>
      </c>
      <c r="AA18" s="11">
        <f t="shared" si="1"/>
        <v>1.5699999999998795E-2</v>
      </c>
      <c r="AB18" s="11">
        <f t="shared" si="1"/>
        <v>1.0699999999998796E-2</v>
      </c>
      <c r="AC18" s="11">
        <f t="shared" si="1"/>
        <v>5.6999999999985109E-3</v>
      </c>
      <c r="AD18" s="11">
        <f t="shared" si="1"/>
        <v>6.9999999999851073E-4</v>
      </c>
      <c r="AE18" s="11">
        <f t="shared" si="1"/>
        <v>-4.3000000000017738E-3</v>
      </c>
      <c r="AF18" s="11">
        <f t="shared" si="1"/>
        <v>-9.3000000000017739E-3</v>
      </c>
      <c r="AG18" s="11">
        <f t="shared" si="1"/>
        <v>-1.4300000000001773E-2</v>
      </c>
      <c r="AH18" s="11">
        <f t="shared" si="1"/>
        <v>-1.9300000000002059E-2</v>
      </c>
      <c r="AI18" s="11">
        <f t="shared" si="1"/>
        <v>-2.4300000000002056E-2</v>
      </c>
      <c r="AJ18" s="11">
        <f t="shared" si="1"/>
        <v>-2.9300000000002342E-2</v>
      </c>
      <c r="AK18" s="11">
        <f t="shared" si="1"/>
        <v>-3.4300000000002343E-2</v>
      </c>
      <c r="AL18" s="11">
        <f t="shared" si="1"/>
        <v>-3.930000000000234E-2</v>
      </c>
    </row>
    <row r="19" spans="1:38">
      <c r="P19" s="4"/>
      <c r="Q19" s="11">
        <f ca="1">ABS(Q18/$E$23)</f>
        <v>9.034319611810643</v>
      </c>
      <c r="R19" s="11">
        <f t="shared" ref="R19:AL19" ca="1" si="2">ABS(R18/$E$23)</f>
        <v>8.3467762623577784</v>
      </c>
      <c r="S19" s="11">
        <f t="shared" ca="1" si="2"/>
        <v>7.6592329129048737</v>
      </c>
      <c r="T19" s="11">
        <f t="shared" ca="1" si="2"/>
        <v>6.9716895634520082</v>
      </c>
      <c r="U19" s="11">
        <f t="shared" ca="1" si="2"/>
        <v>6.2841462139991044</v>
      </c>
      <c r="V19" s="11">
        <f t="shared" ca="1" si="2"/>
        <v>5.596602864546238</v>
      </c>
      <c r="W19" s="11">
        <f t="shared" ca="1" si="2"/>
        <v>4.9090595150933725</v>
      </c>
      <c r="X19" s="11">
        <f t="shared" ca="1" si="2"/>
        <v>4.2215161656404678</v>
      </c>
      <c r="Y19" s="11">
        <f t="shared" ca="1" si="2"/>
        <v>3.5339728161876023</v>
      </c>
      <c r="Z19" s="11">
        <f t="shared" ca="1" si="2"/>
        <v>2.8464294667346977</v>
      </c>
      <c r="AA19" s="11">
        <f t="shared" ca="1" si="2"/>
        <v>2.1588861172818321</v>
      </c>
      <c r="AB19" s="11">
        <f t="shared" ca="1" si="2"/>
        <v>1.4713427678289668</v>
      </c>
      <c r="AC19" s="11">
        <f t="shared" ca="1" si="2"/>
        <v>0.78379941837606204</v>
      </c>
      <c r="AD19" s="11">
        <f t="shared" ca="1" si="2"/>
        <v>9.6256068923196395E-2</v>
      </c>
      <c r="AE19" s="11">
        <f t="shared" ca="1" si="2"/>
        <v>0.59128728052970825</v>
      </c>
      <c r="AF19" s="11">
        <f t="shared" ca="1" si="2"/>
        <v>1.2788306299825738</v>
      </c>
      <c r="AG19" s="11">
        <f t="shared" ca="1" si="2"/>
        <v>1.9663739794354393</v>
      </c>
      <c r="AH19" s="11">
        <f t="shared" ca="1" si="2"/>
        <v>2.653917328888344</v>
      </c>
      <c r="AI19" s="11">
        <f t="shared" ca="1" si="2"/>
        <v>3.3414606783412095</v>
      </c>
      <c r="AJ19" s="11">
        <f t="shared" ca="1" si="2"/>
        <v>4.0290040277941142</v>
      </c>
      <c r="AK19" s="11">
        <f t="shared" ca="1" si="2"/>
        <v>4.7165473772469797</v>
      </c>
      <c r="AL19" s="11">
        <f t="shared" ca="1" si="2"/>
        <v>5.4040907266998452</v>
      </c>
    </row>
    <row r="20" spans="1:38">
      <c r="P20" s="4" t="s">
        <v>18</v>
      </c>
      <c r="Q20" s="11">
        <f ca="1">1-_xlfn.NORM.S.DIST(Q19,1)</f>
        <v>0</v>
      </c>
      <c r="R20" s="11">
        <f t="shared" ref="R20:AL20" ca="1" si="3">1-_xlfn.NORM.S.DIST(R19,1)</f>
        <v>0</v>
      </c>
      <c r="S20" s="11">
        <f t="shared" ca="1" si="3"/>
        <v>9.3258734068513149E-15</v>
      </c>
      <c r="T20" s="11">
        <f t="shared" ca="1" si="3"/>
        <v>1.5657475316288583E-12</v>
      </c>
      <c r="U20" s="11">
        <f t="shared" ca="1" si="3"/>
        <v>1.6483014952939357E-10</v>
      </c>
      <c r="V20" s="11">
        <f t="shared" ca="1" si="3"/>
        <v>1.0929632421330382E-8</v>
      </c>
      <c r="W20" s="11">
        <f t="shared" ca="1" si="3"/>
        <v>4.5757102429266894E-7</v>
      </c>
      <c r="X20" s="11">
        <f t="shared" ca="1" si="3"/>
        <v>1.2133227407562508E-5</v>
      </c>
      <c r="Y20" s="11">
        <f t="shared" ca="1" si="3"/>
        <v>2.0468158945086135E-4</v>
      </c>
      <c r="Z20" s="11">
        <f t="shared" ca="1" si="3"/>
        <v>2.2106261259857707E-3</v>
      </c>
      <c r="AA20" s="11">
        <f t="shared" ca="1" si="3"/>
        <v>1.5429501581688099E-2</v>
      </c>
      <c r="AB20" s="11">
        <f t="shared" ca="1" si="3"/>
        <v>7.0599221370910792E-2</v>
      </c>
      <c r="AC20" s="11">
        <f t="shared" ca="1" si="3"/>
        <v>0.21657890759701826</v>
      </c>
      <c r="AD20" s="11">
        <f t="shared" ca="1" si="3"/>
        <v>0.46165860046789997</v>
      </c>
      <c r="AE20" s="11">
        <f t="shared" ca="1" si="3"/>
        <v>0.27716397527234982</v>
      </c>
      <c r="AF20" s="11">
        <f t="shared" ca="1" si="3"/>
        <v>0.10047835259033733</v>
      </c>
      <c r="AG20" s="11">
        <f t="shared" ca="1" si="3"/>
        <v>2.462771343991732E-2</v>
      </c>
      <c r="AH20" s="11">
        <f t="shared" ca="1" si="3"/>
        <v>3.9781658578006418E-3</v>
      </c>
      <c r="AI20" s="11">
        <f t="shared" ca="1" si="3"/>
        <v>4.1669410080247271E-4</v>
      </c>
      <c r="AJ20" s="11">
        <f t="shared" ca="1" si="3"/>
        <v>2.8006829372761999E-5</v>
      </c>
      <c r="AK20" s="11">
        <f t="shared" ca="1" si="3"/>
        <v>1.1994026399841928E-6</v>
      </c>
      <c r="AL20" s="11">
        <f t="shared" ca="1" si="3"/>
        <v>3.2568985064429512E-8</v>
      </c>
    </row>
    <row r="21" spans="1:38">
      <c r="P21" t="s">
        <v>27</v>
      </c>
      <c r="Q21" s="11">
        <f t="shared" ref="Q21:AL21" si="4">IF(Q18&gt;0,0,0.25*$B$26)</f>
        <v>0</v>
      </c>
      <c r="R21" s="11">
        <f t="shared" si="4"/>
        <v>0</v>
      </c>
      <c r="S21" s="11">
        <f t="shared" si="4"/>
        <v>0</v>
      </c>
      <c r="T21" s="11">
        <f t="shared" si="4"/>
        <v>0</v>
      </c>
      <c r="U21" s="11">
        <f t="shared" si="4"/>
        <v>0</v>
      </c>
      <c r="V21" s="11">
        <f t="shared" si="4"/>
        <v>0</v>
      </c>
      <c r="W21" s="11">
        <f t="shared" si="4"/>
        <v>0</v>
      </c>
      <c r="X21" s="11">
        <f t="shared" si="4"/>
        <v>0</v>
      </c>
      <c r="Y21" s="11">
        <f t="shared" si="4"/>
        <v>0</v>
      </c>
      <c r="Z21" s="11">
        <f t="shared" si="4"/>
        <v>0</v>
      </c>
      <c r="AA21" s="11">
        <f t="shared" si="4"/>
        <v>0</v>
      </c>
      <c r="AB21" s="11">
        <f t="shared" si="4"/>
        <v>0</v>
      </c>
      <c r="AC21" s="11">
        <f t="shared" si="4"/>
        <v>0</v>
      </c>
      <c r="AD21" s="11">
        <f t="shared" si="4"/>
        <v>0</v>
      </c>
      <c r="AE21" s="11">
        <f t="shared" ca="1" si="4"/>
        <v>6.9839079928285568E-5</v>
      </c>
      <c r="AF21" s="11">
        <f t="shared" ca="1" si="4"/>
        <v>6.9839079928285568E-5</v>
      </c>
      <c r="AG21" s="11">
        <f t="shared" ca="1" si="4"/>
        <v>6.9839079928285568E-5</v>
      </c>
      <c r="AH21" s="11">
        <f t="shared" ca="1" si="4"/>
        <v>6.9839079928285568E-5</v>
      </c>
      <c r="AI21" s="11">
        <f t="shared" ca="1" si="4"/>
        <v>6.9839079928285568E-5</v>
      </c>
      <c r="AJ21" s="11">
        <f t="shared" ca="1" si="4"/>
        <v>6.9839079928285568E-5</v>
      </c>
      <c r="AK21" s="11">
        <f t="shared" ca="1" si="4"/>
        <v>6.9839079928285568E-5</v>
      </c>
      <c r="AL21" s="11">
        <f t="shared" ca="1" si="4"/>
        <v>6.9839079928285568E-5</v>
      </c>
    </row>
    <row r="22" spans="1:38" s="4" customFormat="1">
      <c r="A22" s="18" t="s">
        <v>15</v>
      </c>
      <c r="B22" s="18">
        <v>10</v>
      </c>
      <c r="C22" s="18">
        <v>10</v>
      </c>
      <c r="D22" s="9"/>
      <c r="E22" s="9"/>
      <c r="F22" s="9"/>
      <c r="G22" s="9"/>
      <c r="L22" s="56"/>
      <c r="O22" s="42"/>
      <c r="P22" s="4" t="str">
        <f>M4</f>
        <v>P</v>
      </c>
      <c r="Q22" s="4">
        <v>147</v>
      </c>
      <c r="R22" s="4">
        <v>147.5</v>
      </c>
      <c r="S22" s="4">
        <v>148.00000000000003</v>
      </c>
      <c r="T22" s="4">
        <v>148.50000000000003</v>
      </c>
      <c r="U22" s="4">
        <v>149.00000000000006</v>
      </c>
      <c r="V22" s="4">
        <v>149.50000000000006</v>
      </c>
      <c r="W22" s="4">
        <v>150.00000000000006</v>
      </c>
      <c r="X22" s="4">
        <v>150.50000000000009</v>
      </c>
      <c r="Y22" s="4">
        <v>151.00000000000009</v>
      </c>
      <c r="Z22" s="4">
        <v>151.50000000000011</v>
      </c>
      <c r="AA22" s="4">
        <v>152.00000000000011</v>
      </c>
      <c r="AB22" s="4">
        <v>152.50000000000011</v>
      </c>
      <c r="AC22" s="4">
        <v>153.00000000000014</v>
      </c>
      <c r="AD22" s="4">
        <v>153.50000000000014</v>
      </c>
      <c r="AE22" s="4">
        <v>154.00000000000017</v>
      </c>
      <c r="AF22" s="4">
        <v>154.50000000000017</v>
      </c>
      <c r="AG22" s="4">
        <v>155.00000000000017</v>
      </c>
      <c r="AH22" s="4">
        <v>155.5000000000002</v>
      </c>
      <c r="AI22" s="4">
        <v>156.0000000000002</v>
      </c>
      <c r="AJ22" s="4">
        <v>156.50000000000023</v>
      </c>
      <c r="AK22" s="4">
        <v>157.00000000000023</v>
      </c>
      <c r="AL22" s="4">
        <v>157.50000000000023</v>
      </c>
    </row>
    <row r="23" spans="1:38">
      <c r="A23" t="s">
        <v>17</v>
      </c>
      <c r="B23" s="4">
        <v>12</v>
      </c>
      <c r="C23" s="4">
        <v>12</v>
      </c>
      <c r="D23" t="s">
        <v>12</v>
      </c>
      <c r="E23">
        <f ca="1">(B14/100)*Z17</f>
        <v>7.2722687289156511E-3</v>
      </c>
      <c r="P23" s="4" t="str">
        <f>$L$4&amp;M4</f>
        <v>3BV5P</v>
      </c>
      <c r="Q23" t="str">
        <f t="shared" ref="Q23:AL23" si="5">($P$23&amp;" "&amp;Q22&amp;" COMB Curncy")</f>
        <v>3BV5P 147 COMB Curncy</v>
      </c>
      <c r="R23" t="str">
        <f t="shared" si="5"/>
        <v>3BV5P 147.5 COMB Curncy</v>
      </c>
      <c r="S23" t="str">
        <f t="shared" si="5"/>
        <v>3BV5P 148 COMB Curncy</v>
      </c>
      <c r="T23" t="str">
        <f t="shared" si="5"/>
        <v>3BV5P 148.5 COMB Curncy</v>
      </c>
      <c r="U23" t="str">
        <f t="shared" si="5"/>
        <v>3BV5P 149 COMB Curncy</v>
      </c>
      <c r="V23" t="str">
        <f t="shared" si="5"/>
        <v>3BV5P 149.5 COMB Curncy</v>
      </c>
      <c r="W23" t="str">
        <f t="shared" si="5"/>
        <v>3BV5P 150 COMB Curncy</v>
      </c>
      <c r="X23" t="str">
        <f t="shared" si="5"/>
        <v>3BV5P 150.5 COMB Curncy</v>
      </c>
      <c r="Y23" t="str">
        <f t="shared" si="5"/>
        <v>3BV5P 151 COMB Curncy</v>
      </c>
      <c r="Z23" t="str">
        <f t="shared" si="5"/>
        <v>3BV5P 151.5 COMB Curncy</v>
      </c>
      <c r="AA23" t="str">
        <f t="shared" si="5"/>
        <v>3BV5P 152 COMB Curncy</v>
      </c>
      <c r="AB23" t="str">
        <f t="shared" si="5"/>
        <v>3BV5P 152.5 COMB Curncy</v>
      </c>
      <c r="AC23" t="str">
        <f t="shared" si="5"/>
        <v>3BV5P 153 COMB Curncy</v>
      </c>
      <c r="AD23" t="str">
        <f t="shared" si="5"/>
        <v>3BV5P 153.5 COMB Curncy</v>
      </c>
      <c r="AE23" t="str">
        <f t="shared" si="5"/>
        <v>3BV5P 154 COMB Curncy</v>
      </c>
      <c r="AF23" t="str">
        <f t="shared" si="5"/>
        <v>3BV5P 154.5 COMB Curncy</v>
      </c>
      <c r="AG23" t="str">
        <f t="shared" si="5"/>
        <v>3BV5P 155 COMB Curncy</v>
      </c>
      <c r="AH23" t="str">
        <f t="shared" si="5"/>
        <v>3BV5P 155.5 COMB Curncy</v>
      </c>
      <c r="AI23" t="str">
        <f t="shared" si="5"/>
        <v>3BV5P 156 COMB Curncy</v>
      </c>
      <c r="AJ23" t="str">
        <f t="shared" si="5"/>
        <v>3BV5P 156.5 COMB Curncy</v>
      </c>
      <c r="AK23" t="str">
        <f t="shared" si="5"/>
        <v>3BV5P 157 COMB Curncy</v>
      </c>
      <c r="AL23" t="str">
        <f t="shared" si="5"/>
        <v>3BV5P 157.5 COMB Curncy</v>
      </c>
    </row>
    <row r="24" spans="1:38" s="4" customFormat="1">
      <c r="A24" t="s">
        <v>1</v>
      </c>
      <c r="B24" s="2">
        <f ca="1">B13-B12</f>
        <v>4.295589236113301</v>
      </c>
      <c r="C24" s="2">
        <f ca="1">C13-C12</f>
        <v>4.295589236113301</v>
      </c>
      <c r="L24" s="57"/>
      <c r="M24" s="5"/>
      <c r="N24" s="5"/>
      <c r="O24" s="5">
        <f ca="1">SUM(Q25:AL25)/-1</f>
        <v>9.2988008950519894E-4</v>
      </c>
      <c r="P24" s="5" t="s">
        <v>7</v>
      </c>
      <c r="Q24" s="35">
        <f t="shared" ref="Q24:AL24" ca="1" si="6">-1*CGBlackScholes("t","p",$B$14,Q22,$B$24/365,$B$16,$B$15,Q16)/100</f>
        <v>1.2847740520779228E-4</v>
      </c>
      <c r="R24" s="35">
        <f t="shared" ca="1" si="6"/>
        <v>1.4010081334680155E-4</v>
      </c>
      <c r="S24" s="35">
        <f t="shared" ca="1" si="6"/>
        <v>1.2130274360361156E-4</v>
      </c>
      <c r="T24" s="35">
        <f t="shared" ca="1" si="6"/>
        <v>1.3326204856491342E-4</v>
      </c>
      <c r="U24" s="35">
        <f t="shared" ca="1" si="6"/>
        <v>1.2905806280410115E-4</v>
      </c>
      <c r="V24" s="35">
        <f t="shared" ca="1" si="6"/>
        <v>1.2441868369936801E-4</v>
      </c>
      <c r="W24" s="35">
        <f t="shared" ca="1" si="6"/>
        <v>1.9727012844612861E-4</v>
      </c>
      <c r="X24" s="35">
        <f t="shared" ca="1" si="6"/>
        <v>1.8872295172952464E-4</v>
      </c>
      <c r="Y24" s="35">
        <f t="shared" ca="1" si="6"/>
        <v>1.0543189779655689E-4</v>
      </c>
      <c r="Z24" s="35">
        <f t="shared" ca="1" si="6"/>
        <v>2.6720598715104571E-4</v>
      </c>
      <c r="AA24" s="35">
        <f t="shared" ca="1" si="6"/>
        <v>3.332977346474641E-4</v>
      </c>
      <c r="AB24" s="35">
        <f t="shared" ca="1" si="6"/>
        <v>4.6494004475259947E-4</v>
      </c>
      <c r="AC24" s="35">
        <f t="shared" ca="1" si="6"/>
        <v>5.7683431947505885E-4</v>
      </c>
      <c r="AD24" s="35">
        <f t="shared" ca="1" si="6"/>
        <v>6.2074264998656368E-4</v>
      </c>
      <c r="AE24" s="35">
        <f t="shared" ca="1" si="6"/>
        <v>6.1490456855387075E-4</v>
      </c>
      <c r="AF24" s="35">
        <f t="shared" ca="1" si="6"/>
        <v>5.2673975232521333E-4</v>
      </c>
      <c r="AG24" s="35">
        <f t="shared" ca="1" si="6"/>
        <v>4.0802229055723974E-4</v>
      </c>
      <c r="AH24" s="35">
        <f t="shared" ca="1" si="6"/>
        <v>3.4875498737887289E-4</v>
      </c>
      <c r="AI24" s="35">
        <f t="shared" ca="1" si="6"/>
        <v>2.7395264685329933E-4</v>
      </c>
      <c r="AJ24" s="35">
        <f t="shared" ca="1" si="6"/>
        <v>2.4000149239444964E-4</v>
      </c>
      <c r="AK24" s="35">
        <f t="shared" ca="1" si="6"/>
        <v>1.8984451036366034E-4</v>
      </c>
      <c r="AL24" s="35">
        <f t="shared" ca="1" si="6"/>
        <v>1.6124609030674565E-4</v>
      </c>
    </row>
    <row r="25" spans="1:38" s="4" customFormat="1" hidden="1">
      <c r="A25"/>
      <c r="B25" s="2"/>
      <c r="C25" s="2"/>
      <c r="L25" s="57"/>
      <c r="M25" s="5"/>
      <c r="N25" s="5"/>
      <c r="O25" s="42"/>
      <c r="P25" s="5" t="s">
        <v>66</v>
      </c>
      <c r="Q25" s="35">
        <f ca="1">Q32*Q24</f>
        <v>0</v>
      </c>
      <c r="R25" s="35">
        <f t="shared" ref="R25:AL25" ca="1" si="7">R32*R24</f>
        <v>0</v>
      </c>
      <c r="S25" s="35">
        <f t="shared" ca="1" si="7"/>
        <v>0</v>
      </c>
      <c r="T25" s="35">
        <f t="shared" ca="1" si="7"/>
        <v>0</v>
      </c>
      <c r="U25" s="35">
        <f t="shared" ca="1" si="7"/>
        <v>0</v>
      </c>
      <c r="V25" s="35">
        <f t="shared" ca="1" si="7"/>
        <v>0</v>
      </c>
      <c r="W25" s="35">
        <f t="shared" ca="1" si="7"/>
        <v>0</v>
      </c>
      <c r="X25" s="35">
        <f t="shared" ca="1" si="7"/>
        <v>0</v>
      </c>
      <c r="Y25" s="35">
        <f t="shared" ca="1" si="7"/>
        <v>0</v>
      </c>
      <c r="Z25" s="35">
        <f t="shared" ca="1" si="7"/>
        <v>0</v>
      </c>
      <c r="AA25" s="35">
        <f t="shared" ca="1" si="7"/>
        <v>0</v>
      </c>
      <c r="AB25" s="35">
        <f t="shared" ca="1" si="7"/>
        <v>-9.2988008950519894E-4</v>
      </c>
      <c r="AC25" s="35">
        <f t="shared" ca="1" si="7"/>
        <v>0</v>
      </c>
      <c r="AD25" s="35">
        <f t="shared" ca="1" si="7"/>
        <v>0</v>
      </c>
      <c r="AE25" s="35">
        <f t="shared" ca="1" si="7"/>
        <v>0</v>
      </c>
      <c r="AF25" s="35">
        <f t="shared" ca="1" si="7"/>
        <v>0</v>
      </c>
      <c r="AG25" s="35">
        <f t="shared" ca="1" si="7"/>
        <v>0</v>
      </c>
      <c r="AH25" s="35">
        <f t="shared" ca="1" si="7"/>
        <v>0</v>
      </c>
      <c r="AI25" s="35">
        <f t="shared" ca="1" si="7"/>
        <v>0</v>
      </c>
      <c r="AJ25" s="35">
        <f t="shared" ca="1" si="7"/>
        <v>0</v>
      </c>
      <c r="AK25" s="35">
        <f t="shared" ca="1" si="7"/>
        <v>0</v>
      </c>
      <c r="AL25" s="35">
        <f t="shared" ca="1" si="7"/>
        <v>0</v>
      </c>
    </row>
    <row r="26" spans="1:38" s="4" customFormat="1">
      <c r="A26" t="s">
        <v>9</v>
      </c>
      <c r="B26">
        <f ca="1">B23/10000/B24</f>
        <v>2.7935631971314227E-4</v>
      </c>
      <c r="C26">
        <f ca="1">C23/10000/C24</f>
        <v>2.7935631971314227E-4</v>
      </c>
      <c r="J26" s="5"/>
      <c r="K26" s="5"/>
      <c r="L26" s="56"/>
      <c r="M26" s="5"/>
      <c r="N26" s="5"/>
      <c r="O26" s="42"/>
      <c r="P26" s="5" t="s">
        <v>8</v>
      </c>
      <c r="Q26" s="5">
        <f t="shared" ref="Q26:AL26" ca="1" si="8">CGBlackScholes("g","P",$B$14,Q22,$B$24/365,$B$16,$B$15,Q16)</f>
        <v>1.1681752689711049E-2</v>
      </c>
      <c r="R26" s="5">
        <f t="shared" ca="1" si="8"/>
        <v>1.4118435627835881E-2</v>
      </c>
      <c r="S26" s="5">
        <f t="shared" ca="1" si="8"/>
        <v>1.4874647904441846E-2</v>
      </c>
      <c r="T26" s="5">
        <f t="shared" ca="1" si="8"/>
        <v>1.8467143948679744E-2</v>
      </c>
      <c r="U26" s="5">
        <f t="shared" ca="1" si="8"/>
        <v>2.14879175343223E-2</v>
      </c>
      <c r="V26" s="5">
        <f t="shared" ca="1" si="8"/>
        <v>2.5404387221694018E-2</v>
      </c>
      <c r="W26" s="5">
        <f t="shared" ca="1" si="8"/>
        <v>4.0518925541911832E-2</v>
      </c>
      <c r="X26" s="5">
        <f t="shared" ca="1" si="8"/>
        <v>4.9888118885260777E-2</v>
      </c>
      <c r="Y26" s="5">
        <f t="shared" ca="1" si="8"/>
        <v>4.8248393640647008E-2</v>
      </c>
      <c r="Z26" s="5">
        <f t="shared" ca="1" si="8"/>
        <v>0.10105591260550212</v>
      </c>
      <c r="AA26" s="5">
        <f t="shared" ca="1" si="8"/>
        <v>0.14965780501433648</v>
      </c>
      <c r="AB26" s="5">
        <f t="shared" ca="1" si="8"/>
        <v>0.21355434506397181</v>
      </c>
      <c r="AC26" s="5">
        <f t="shared" ca="1" si="8"/>
        <v>0.26811174183963005</v>
      </c>
      <c r="AD26" s="5">
        <f t="shared" ca="1" si="8"/>
        <v>0.29734777875759261</v>
      </c>
      <c r="AE26" s="5">
        <f t="shared" ca="1" si="8"/>
        <v>0.27436866586566555</v>
      </c>
      <c r="AF26" s="5">
        <f t="shared" ca="1" si="8"/>
        <v>0.22891362490468981</v>
      </c>
      <c r="AG26" s="5">
        <f t="shared" ca="1" si="8"/>
        <v>0.17075601450110617</v>
      </c>
      <c r="AH26" s="5">
        <f t="shared" ca="1" si="8"/>
        <v>0.12132823157615936</v>
      </c>
      <c r="AI26" s="5">
        <f t="shared" ca="1" si="8"/>
        <v>8.4800239498441163E-2</v>
      </c>
      <c r="AJ26" s="5">
        <f t="shared" ca="1" si="8"/>
        <v>6.2219785298971562E-2</v>
      </c>
      <c r="AK26" s="5">
        <f t="shared" ca="1" si="8"/>
        <v>4.4290067991074412E-2</v>
      </c>
      <c r="AL26" s="5">
        <f t="shared" ca="1" si="8"/>
        <v>3.3036431215647234E-2</v>
      </c>
    </row>
    <row r="27" spans="1:38" s="4" customFormat="1">
      <c r="A27"/>
      <c r="B27"/>
      <c r="J27" s="5"/>
      <c r="K27" s="5"/>
      <c r="L27" s="57"/>
      <c r="M27" s="5"/>
      <c r="O27" s="42"/>
      <c r="P27" s="5" t="s">
        <v>60</v>
      </c>
      <c r="Q27" s="41" t="e">
        <f>IF(Q18&gt;0,_xll.BDP(Q23,"BID")/100,(_xll.BDP(Q23,"BID")/100)+Q18)</f>
        <v>#VALUE!</v>
      </c>
      <c r="R27" s="41" t="e">
        <f>IF(R18&gt;0,_xll.BDP(R23,"BID")/100,(_xll.BDP(R23,"BID")/100)+R18)</f>
        <v>#VALUE!</v>
      </c>
      <c r="S27" s="41" t="e">
        <f>IF(S18&gt;0,_xll.BDP(S23,"BID")/100,(_xll.BDP(S23,"BID")/100)+S18)</f>
        <v>#VALUE!</v>
      </c>
      <c r="T27" s="41" t="e">
        <f>IF(T18&gt;0,_xll.BDP(T23,"BID")/100,(_xll.BDP(T23,"BID")/100)+T18)</f>
        <v>#VALUE!</v>
      </c>
      <c r="U27" s="41" t="e">
        <f>IF(U18&gt;0,_xll.BDP(U23,"BID")/100,(_xll.BDP(U23,"BID")/100)+U18)</f>
        <v>#VALUE!</v>
      </c>
      <c r="V27" s="41" t="e">
        <f>IF(V18&gt;0,_xll.BDP(V23,"BID")/100,(_xll.BDP(V23,"BID")/100)+V18)</f>
        <v>#VALUE!</v>
      </c>
      <c r="W27" s="41" t="e">
        <f>IF(W18&gt;0,_xll.BDP(W23,"BID")/100,(_xll.BDP(W23,"BID")/100)+W18)</f>
        <v>#VALUE!</v>
      </c>
      <c r="X27" s="41" t="e">
        <f>IF(X18&gt;0,_xll.BDP(X23,"BID")/100,(_xll.BDP(X23,"BID")/100)+X18)</f>
        <v>#VALUE!</v>
      </c>
      <c r="Y27" s="41">
        <f>IF(Y18&gt;0,_xll.BDP(Y23,"BID")/100,(_xll.BDP(Y23,"BID")/100)+Y18)</f>
        <v>1E-4</v>
      </c>
      <c r="Z27" s="41">
        <f>IF(Z18&gt;0,_xll.BDP(Z23,"BID")/100,(_xll.BDP(Z23,"BID")/100)+Z18)</f>
        <v>2.9999999999999997E-4</v>
      </c>
      <c r="AA27" s="41">
        <f>IF(AA18&gt;0,_xll.BDP(AA23,"BID")/100,(_xll.BDP(AA23,"BID")/100)+AA18)</f>
        <v>5.9999999999999995E-4</v>
      </c>
      <c r="AB27" s="41">
        <f>IF(AB18&gt;0,_xll.BDP(AB23,"BID")/100,(_xll.BDP(AB23,"BID")/100)+AB18)</f>
        <v>1.2999999999999999E-3</v>
      </c>
      <c r="AC27" s="41">
        <f>IF(AC18&gt;0,_xll.BDP(AC23,"BID")/100,(_xll.BDP(AC23,"BID")/100)+AC18)</f>
        <v>2.5000000000000001E-3</v>
      </c>
      <c r="AD27" s="41">
        <f>IF(AD18&gt;0,_xll.BDP(AD23,"BID")/100,(_xll.BDP(AD23,"BID")/100)+AD18)</f>
        <v>4.5000000000000005E-3</v>
      </c>
      <c r="AE27" s="41">
        <f>IF(AE18&gt;0,_xll.BDP(AE23,"BID")/100,(_xll.BDP(AE23,"BID")/100)+AE18)</f>
        <v>2.9999999999982263E-3</v>
      </c>
      <c r="AF27" s="41">
        <f>IF(AF18&gt;0,_xll.BDP(AF23,"BID")/100,(_xll.BDP(AF23,"BID")/100)+AF18)</f>
        <v>1.0999999999982257E-3</v>
      </c>
      <c r="AG27" s="41">
        <f>IF(AG18&gt;0,_xll.BDP(AG23,"BID")/100,(_xll.BDP(AG23,"BID")/100)+AG18)</f>
        <v>3.9999999999822643E-4</v>
      </c>
      <c r="AH27" s="41">
        <f>IF(AH18&gt;0,_xll.BDP(AH23,"BID")/100,(_xll.BDP(AH23,"BID")/100)+AH18)</f>
        <v>-2.0000000000205964E-4</v>
      </c>
      <c r="AI27" s="41">
        <f>IF(AI18&gt;0,_xll.BDP(AI23,"BID")/100,(_xll.BDP(AI23,"BID")/100)+AI18)</f>
        <v>-5.0000000000205783E-4</v>
      </c>
      <c r="AJ27" s="41">
        <f>IF(AJ18&gt;0,_xll.BDP(AJ23,"BID")/100,(_xll.BDP(AJ23,"BID")/100)+AJ18)</f>
        <v>-6.0000000000234172E-4</v>
      </c>
      <c r="AK27" s="41">
        <f>IF(AK18&gt;0,_xll.BDP(AK23,"BID")/100,(_xll.BDP(AK23,"BID")/100)+AK18)</f>
        <v>-7.0000000000234458E-4</v>
      </c>
      <c r="AL27" s="41">
        <f>IF(AL18&gt;0,_xll.BDP(AL23,"BID")/100,(_xll.BDP(AL23,"BID")/100)+AL18)</f>
        <v>-8.0000000000234051E-4</v>
      </c>
    </row>
    <row r="28" spans="1:38" s="4" customFormat="1">
      <c r="A28"/>
      <c r="B28"/>
      <c r="J28" s="5"/>
      <c r="K28" s="5"/>
      <c r="L28" s="57"/>
      <c r="M28" s="5"/>
      <c r="O28" s="42"/>
      <c r="P28" s="5" t="s">
        <v>61</v>
      </c>
      <c r="Q28" s="41">
        <f>IF(Q18&gt;0,_xll.BDP(Q23,"ASK")/100,(_xll.BDP(Q23,"ASK")/100)+Q18)</f>
        <v>1E-4</v>
      </c>
      <c r="R28" s="41">
        <f>IF(R18&gt;0,_xll.BDP(R23,"ASK")/100,(_xll.BDP(R23,"ASK")/100)+R18)</f>
        <v>1E-4</v>
      </c>
      <c r="S28" s="41">
        <f>IF(S18&gt;0,_xll.BDP(S23,"ASK")/100,(_xll.BDP(S23,"ASK")/100)+S18)</f>
        <v>1E-4</v>
      </c>
      <c r="T28" s="41">
        <f>IF(T18&gt;0,_xll.BDP(T23,"ASK")/100,(_xll.BDP(T23,"ASK")/100)+T18)</f>
        <v>1E-4</v>
      </c>
      <c r="U28" s="41">
        <f>IF(U18&gt;0,_xll.BDP(U23,"ASK")/100,(_xll.BDP(U23,"ASK")/100)+U18)</f>
        <v>1E-4</v>
      </c>
      <c r="V28" s="41">
        <f>IF(V18&gt;0,_xll.BDP(V23,"ASK")/100,(_xll.BDP(V23,"ASK")/100)+V18)</f>
        <v>1E-4</v>
      </c>
      <c r="W28" s="41">
        <f>IF(W18&gt;0,_xll.BDP(W23,"ASK")/100,(_xll.BDP(W23,"ASK")/100)+W18)</f>
        <v>2.0000000000000001E-4</v>
      </c>
      <c r="X28" s="41">
        <f>IF(X18&gt;0,_xll.BDP(X23,"ASK")/100,(_xll.BDP(X23,"ASK")/100)+X18)</f>
        <v>2.0000000000000001E-4</v>
      </c>
      <c r="Y28" s="41">
        <f>IF(Y18&gt;0,_xll.BDP(Y23,"ASK")/100,(_xll.BDP(Y23,"ASK")/100)+Y18)</f>
        <v>2.9999999999999997E-4</v>
      </c>
      <c r="Z28" s="41">
        <f>IF(Z18&gt;0,_xll.BDP(Z23,"ASK")/100,(_xll.BDP(Z23,"ASK")/100)+Z18)</f>
        <v>5.0000000000000001E-4</v>
      </c>
      <c r="AA28" s="41">
        <f>IF(AA18&gt;0,_xll.BDP(AA23,"ASK")/100,(_xll.BDP(AA23,"ASK")/100)+AA18)</f>
        <v>8.0000000000000004E-4</v>
      </c>
      <c r="AB28" s="41">
        <f>IF(AB18&gt;0,_xll.BDP(AB23,"ASK")/100,(_xll.BDP(AB23,"ASK")/100)+AB18)</f>
        <v>1.6000000000000001E-3</v>
      </c>
      <c r="AC28" s="41">
        <f>IF(AC18&gt;0,_xll.BDP(AC23,"ASK")/100,(_xll.BDP(AC23,"ASK")/100)+AC18)</f>
        <v>2.8999999999999998E-3</v>
      </c>
      <c r="AD28" s="41">
        <f>IF(AD18&gt;0,_xll.BDP(AD23,"ASK")/100,(_xll.BDP(AD23,"ASK")/100)+AD18)</f>
        <v>4.7999999999999996E-3</v>
      </c>
      <c r="AE28" s="41">
        <f>IF(AE18&gt;0,_xll.BDP(AE23,"ASK")/100,(_xll.BDP(AE23,"ASK")/100)+AE18)</f>
        <v>3.4999999999982268E-3</v>
      </c>
      <c r="AF28" s="41">
        <f>IF(AF18&gt;0,_xll.BDP(AF23,"ASK")/100,(_xll.BDP(AF23,"ASK")/100)+AF18)</f>
        <v>2.3999999999982247E-3</v>
      </c>
      <c r="AG28" s="41">
        <f>IF(AG18&gt;0,_xll.BDP(AG23,"ASK")/100,(_xll.BDP(AG23,"ASK")/100)+AG18)</f>
        <v>1.6999999999982272E-3</v>
      </c>
      <c r="AH28" s="41">
        <f>IF(AH18&gt;0,_xll.BDP(AH23,"ASK")/100,(_xll.BDP(AH23,"ASK")/100)+AH18)</f>
        <v>1.2999999999979417E-3</v>
      </c>
      <c r="AI28" s="41">
        <f>IF(AI18&gt;0,_xll.BDP(AI23,"ASK")/100,(_xll.BDP(AI23,"ASK")/100)+AI18)</f>
        <v>1.0999999999979429E-3</v>
      </c>
      <c r="AJ28" s="41">
        <f>IF(AJ18&gt;0,_xll.BDP(AJ23,"ASK")/100,(_xll.BDP(AJ23,"ASK")/100)+AJ18)</f>
        <v>9.9999999999765554E-4</v>
      </c>
      <c r="AK28" s="41">
        <f>IF(AK18&gt;0,_xll.BDP(AK23,"ASK")/100,(_xll.BDP(AK23,"ASK")/100)+AK18)</f>
        <v>8.9999999999765962E-4</v>
      </c>
      <c r="AL28" s="41">
        <f>IF(AL18&gt;0,_xll.BDP(AL23,"ASK")/100,(_xll.BDP(AL23,"ASK")/100)+AL18)</f>
        <v>8.9999999999765268E-4</v>
      </c>
    </row>
    <row r="29" spans="1:38" s="4" customFormat="1">
      <c r="A29" t="s">
        <v>26</v>
      </c>
      <c r="B29" t="s">
        <v>25</v>
      </c>
      <c r="C29" s="4" t="s">
        <v>10</v>
      </c>
      <c r="D29" s="4" t="s">
        <v>11</v>
      </c>
      <c r="E29" s="4" t="s">
        <v>13</v>
      </c>
      <c r="F29" s="4" t="s">
        <v>14</v>
      </c>
      <c r="G29" s="4" t="s">
        <v>27</v>
      </c>
      <c r="H29" s="4" t="str">
        <f>M3</f>
        <v>C</v>
      </c>
      <c r="I29" s="4" t="str">
        <f>$L$3&amp;M3</f>
        <v>3BV5C</v>
      </c>
      <c r="J29" s="5" t="s">
        <v>7</v>
      </c>
      <c r="K29" s="5" t="s">
        <v>66</v>
      </c>
      <c r="L29" s="57" t="s">
        <v>8</v>
      </c>
      <c r="N29" s="5"/>
      <c r="O29" s="42"/>
      <c r="P29" s="5" t="s">
        <v>58</v>
      </c>
      <c r="Q29" s="41" t="e">
        <f ca="1">((Q27+Q28)/2)/$B$24</f>
        <v>#VALUE!</v>
      </c>
      <c r="R29" s="41" t="e">
        <f t="shared" ref="R29:AL29" ca="1" si="9">((R27+R28)/2)/$B$24</f>
        <v>#VALUE!</v>
      </c>
      <c r="S29" s="41" t="e">
        <f t="shared" ca="1" si="9"/>
        <v>#VALUE!</v>
      </c>
      <c r="T29" s="41" t="e">
        <f t="shared" ca="1" si="9"/>
        <v>#VALUE!</v>
      </c>
      <c r="U29" s="41" t="e">
        <f t="shared" ca="1" si="9"/>
        <v>#VALUE!</v>
      </c>
      <c r="V29" s="41" t="e">
        <f t="shared" ca="1" si="9"/>
        <v>#VALUE!</v>
      </c>
      <c r="W29" s="41" t="e">
        <f t="shared" ca="1" si="9"/>
        <v>#VALUE!</v>
      </c>
      <c r="X29" s="41" t="e">
        <f t="shared" ca="1" si="9"/>
        <v>#VALUE!</v>
      </c>
      <c r="Y29" s="41">
        <f t="shared" ca="1" si="9"/>
        <v>4.6559386618857045E-5</v>
      </c>
      <c r="Z29" s="41">
        <f t="shared" ca="1" si="9"/>
        <v>9.3118773237714091E-5</v>
      </c>
      <c r="AA29" s="41">
        <f t="shared" ca="1" si="9"/>
        <v>1.6295785316599966E-4</v>
      </c>
      <c r="AB29" s="41">
        <f t="shared" ca="1" si="9"/>
        <v>3.3755555298671357E-4</v>
      </c>
      <c r="AC29" s="41">
        <f t="shared" ca="1" si="9"/>
        <v>6.2855171935457025E-4</v>
      </c>
      <c r="AD29" s="41">
        <f t="shared" ca="1" si="9"/>
        <v>1.0825057388884262E-3</v>
      </c>
      <c r="AE29" s="41">
        <f t="shared" ca="1" si="9"/>
        <v>7.5659003255601422E-4</v>
      </c>
      <c r="AF29" s="41">
        <f t="shared" ca="1" si="9"/>
        <v>4.0739463291458603E-4</v>
      </c>
      <c r="AG29" s="41">
        <f t="shared" ca="1" si="9"/>
        <v>2.4443677974858672E-4</v>
      </c>
      <c r="AH29" s="41">
        <f t="shared" ca="1" si="9"/>
        <v>1.2803831320137756E-4</v>
      </c>
      <c r="AI29" s="41">
        <f t="shared" ca="1" si="9"/>
        <v>6.9839079927806608E-5</v>
      </c>
      <c r="AJ29" s="41">
        <f t="shared" ca="1" si="9"/>
        <v>4.6559386618311583E-5</v>
      </c>
      <c r="AK29" s="41">
        <f t="shared" ca="1" si="9"/>
        <v>2.3279693308883203E-5</v>
      </c>
      <c r="AL29" s="41">
        <f t="shared" ca="1" si="9"/>
        <v>1.1639846654168606E-5</v>
      </c>
    </row>
    <row r="30" spans="1:38" s="4" customFormat="1" ht="15.75" customHeight="1">
      <c r="J30" s="5">
        <f ca="1">SUM(K34:K124)/-1</f>
        <v>1.0535401967561491E-3</v>
      </c>
      <c r="K30" s="5"/>
      <c r="L30" s="57"/>
      <c r="M30" s="5"/>
      <c r="N30" s="52" t="s">
        <v>64</v>
      </c>
      <c r="O30" s="46"/>
      <c r="P30" s="46"/>
      <c r="Q30" s="47" t="e">
        <f ca="1">(MIN(Q$24,Q$29) - $B$22*$B$23/10000*Q$20)*10000</f>
        <v>#VALUE!</v>
      </c>
      <c r="R30" s="47" t="e">
        <f t="shared" ref="R30:AL30" ca="1" si="10">(MIN(R$24,R$29) - $B$22*$B$23/10000*R$20)*10000</f>
        <v>#VALUE!</v>
      </c>
      <c r="S30" s="47" t="e">
        <f t="shared" ca="1" si="10"/>
        <v>#VALUE!</v>
      </c>
      <c r="T30" s="47" t="e">
        <f t="shared" ca="1" si="10"/>
        <v>#VALUE!</v>
      </c>
      <c r="U30" s="47" t="e">
        <f t="shared" ca="1" si="10"/>
        <v>#VALUE!</v>
      </c>
      <c r="V30" s="47" t="e">
        <f t="shared" ca="1" si="10"/>
        <v>#VALUE!</v>
      </c>
      <c r="W30" s="47" t="e">
        <f t="shared" ca="1" si="10"/>
        <v>#VALUE!</v>
      </c>
      <c r="X30" s="47" t="e">
        <f t="shared" ca="1" si="10"/>
        <v>#VALUE!</v>
      </c>
      <c r="Y30" s="47">
        <f t="shared" ca="1" si="10"/>
        <v>0.4410320754544671</v>
      </c>
      <c r="Z30" s="47">
        <f ca="1">(MIN(Z$24,Z$29) - $B$22*$B$23/10000*Z$20)*10000</f>
        <v>0.66591259725884844</v>
      </c>
      <c r="AA30" s="47">
        <f t="shared" ca="1" si="10"/>
        <v>-0.22196165814257524</v>
      </c>
      <c r="AB30" s="47">
        <f t="shared" ca="1" si="10"/>
        <v>-5.0963510346421597</v>
      </c>
      <c r="AC30" s="47">
        <f t="shared" ca="1" si="10"/>
        <v>-20.221125716891603</v>
      </c>
      <c r="AD30" s="47">
        <f t="shared" ca="1" si="10"/>
        <v>-49.191605556282369</v>
      </c>
      <c r="AE30" s="47">
        <f t="shared" ca="1" si="10"/>
        <v>-27.110631347143272</v>
      </c>
      <c r="AF30" s="47">
        <f t="shared" ca="1" si="10"/>
        <v>-7.98345598169462</v>
      </c>
      <c r="AG30" s="47">
        <f t="shared" ca="1" si="10"/>
        <v>-0.51095781530421136</v>
      </c>
      <c r="AH30" s="47">
        <f t="shared" ca="1" si="10"/>
        <v>0.80300322907769861</v>
      </c>
      <c r="AI30" s="47">
        <f t="shared" ca="1" si="10"/>
        <v>0.6483875071817693</v>
      </c>
      <c r="AJ30" s="47">
        <f t="shared" ca="1" si="10"/>
        <v>0.46223304665838438</v>
      </c>
      <c r="AK30" s="47">
        <f t="shared" ca="1" si="10"/>
        <v>0.23265300477203393</v>
      </c>
      <c r="AL30" s="47">
        <f t="shared" ca="1" si="10"/>
        <v>0.11639455826347833</v>
      </c>
    </row>
    <row r="31" spans="1:38" s="42" customFormat="1" ht="15.75" customHeight="1">
      <c r="L31" s="58"/>
      <c r="N31" s="46"/>
      <c r="O31" s="43" t="s">
        <v>63</v>
      </c>
      <c r="P31" s="43"/>
      <c r="Q31" s="55" t="str">
        <f t="shared" ref="Q31:AC31" si="11">ROUND(((Q28*10000)+$B$23),0)&amp;" ticks"</f>
        <v>13 ticks</v>
      </c>
      <c r="R31" s="55" t="str">
        <f t="shared" si="11"/>
        <v>13 ticks</v>
      </c>
      <c r="S31" s="55" t="str">
        <f t="shared" si="11"/>
        <v>13 ticks</v>
      </c>
      <c r="T31" s="55" t="str">
        <f t="shared" si="11"/>
        <v>13 ticks</v>
      </c>
      <c r="U31" s="55" t="str">
        <f t="shared" si="11"/>
        <v>13 ticks</v>
      </c>
      <c r="V31" s="55" t="str">
        <f t="shared" si="11"/>
        <v>13 ticks</v>
      </c>
      <c r="W31" s="55" t="str">
        <f t="shared" si="11"/>
        <v>14 ticks</v>
      </c>
      <c r="X31" s="55" t="str">
        <f t="shared" si="11"/>
        <v>14 ticks</v>
      </c>
      <c r="Y31" s="55" t="str">
        <f t="shared" si="11"/>
        <v>15 ticks</v>
      </c>
      <c r="Z31" s="55" t="str">
        <f t="shared" si="11"/>
        <v>17 ticks</v>
      </c>
      <c r="AA31" s="55" t="str">
        <f t="shared" si="11"/>
        <v>20 ticks</v>
      </c>
      <c r="AB31" s="55" t="str">
        <f t="shared" si="11"/>
        <v>28 ticks</v>
      </c>
      <c r="AC31" s="55" t="str">
        <f t="shared" si="11"/>
        <v>41 ticks</v>
      </c>
      <c r="AD31" s="55" t="str">
        <f>ROUND(((AD28*10000)+$B$23),0)&amp;" ticks"</f>
        <v>60 ticks</v>
      </c>
      <c r="AE31" s="55" t="str">
        <f t="shared" ref="AE31:AH31" si="12">ROUND(((AE28*10000)+$B$23),0)&amp;" ticks"</f>
        <v>47 ticks</v>
      </c>
      <c r="AF31" s="55" t="str">
        <f t="shared" ref="AF31" si="13">ROUND(((AF28*10000)+$B$23),0)&amp;" ticks"</f>
        <v>36 ticks</v>
      </c>
      <c r="AG31" s="55" t="str">
        <f t="shared" si="12"/>
        <v>29 ticks</v>
      </c>
      <c r="AH31" s="55" t="str">
        <f t="shared" si="12"/>
        <v>25 ticks</v>
      </c>
      <c r="AI31" s="43" t="str">
        <f t="shared" ref="AI31:AL31" si="14">((AI28*10000)+$B$23)&amp;" ticks"</f>
        <v>22.9999999999794 ticks</v>
      </c>
      <c r="AJ31" s="43" t="str">
        <f t="shared" si="14"/>
        <v>21.9999999999766 ticks</v>
      </c>
      <c r="AK31" s="43" t="str">
        <f t="shared" si="14"/>
        <v>20.9999999999766 ticks</v>
      </c>
      <c r="AL31" s="43" t="str">
        <f t="shared" si="14"/>
        <v>20.9999999999765 ticks</v>
      </c>
    </row>
    <row r="32" spans="1:38" s="42" customFormat="1" ht="15.75" customHeight="1" thickBot="1">
      <c r="L32" s="58"/>
      <c r="N32" s="46"/>
      <c r="O32" s="43" t="s">
        <v>65</v>
      </c>
      <c r="P32" s="53" t="s">
        <v>62</v>
      </c>
      <c r="Q32" s="54">
        <f>Q33+Q37+Q41+Q45+Q49+Q53+Q57+Q61+Q65+Q69+Q73+Q77+Q81+Q85+Q89+Q93+Q97+Q101+Q105+Q109+Q113+Q117+Q121</f>
        <v>0</v>
      </c>
      <c r="R32" s="54">
        <f t="shared" ref="R32:AL32" si="15">R33+R37+R41+R45+R49+R53+R57+R61+R65+R69+R73+R77+R81+R85+R89+R93+R97+R101+R105+R109+R113+R117+R121</f>
        <v>0</v>
      </c>
      <c r="S32" s="54">
        <f t="shared" si="15"/>
        <v>0</v>
      </c>
      <c r="T32" s="54">
        <f t="shared" si="15"/>
        <v>0</v>
      </c>
      <c r="U32" s="54">
        <f t="shared" si="15"/>
        <v>0</v>
      </c>
      <c r="V32" s="54">
        <f t="shared" si="15"/>
        <v>0</v>
      </c>
      <c r="W32" s="54">
        <f t="shared" si="15"/>
        <v>0</v>
      </c>
      <c r="X32" s="54">
        <f t="shared" si="15"/>
        <v>0</v>
      </c>
      <c r="Y32" s="54">
        <f t="shared" si="15"/>
        <v>0</v>
      </c>
      <c r="Z32" s="54">
        <f t="shared" si="15"/>
        <v>0</v>
      </c>
      <c r="AA32" s="54">
        <f t="shared" si="15"/>
        <v>0</v>
      </c>
      <c r="AB32" s="54">
        <f t="shared" si="15"/>
        <v>-2</v>
      </c>
      <c r="AC32" s="54">
        <f t="shared" si="15"/>
        <v>0</v>
      </c>
      <c r="AD32" s="54">
        <f t="shared" si="15"/>
        <v>0</v>
      </c>
      <c r="AE32" s="54">
        <f t="shared" si="15"/>
        <v>0</v>
      </c>
      <c r="AF32" s="54">
        <f t="shared" si="15"/>
        <v>0</v>
      </c>
      <c r="AG32" s="54">
        <f t="shared" si="15"/>
        <v>0</v>
      </c>
      <c r="AH32" s="54">
        <f t="shared" si="15"/>
        <v>0</v>
      </c>
      <c r="AI32" s="54">
        <f t="shared" si="15"/>
        <v>0</v>
      </c>
      <c r="AJ32" s="54">
        <f t="shared" si="15"/>
        <v>0</v>
      </c>
      <c r="AK32" s="54">
        <f t="shared" si="15"/>
        <v>0</v>
      </c>
      <c r="AL32" s="54">
        <f t="shared" si="15"/>
        <v>0</v>
      </c>
    </row>
    <row r="33" spans="1:38" ht="12.75" thickTop="1">
      <c r="A33" s="4"/>
      <c r="I33" s="4"/>
      <c r="J33" s="5"/>
      <c r="K33" s="5"/>
      <c r="L33" s="57"/>
      <c r="M33" s="5" t="s">
        <v>58</v>
      </c>
      <c r="N33" s="45"/>
      <c r="O33" s="43"/>
      <c r="P33" s="53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</row>
    <row r="34" spans="1:38">
      <c r="A34" s="16">
        <f>_xll.BDP($I34, A$29)/-1</f>
        <v>-1.3762999999999999E-2</v>
      </c>
      <c r="B34" s="12">
        <f>_xll.BDP($I34, B$29)/100</f>
        <v>0.13036985000000001</v>
      </c>
      <c r="C34" s="6">
        <f ca="1">B34*(MIN(SQRT(1/365),(SQRT(($B$24/365)))))</f>
        <v>6.8238698274497777E-3</v>
      </c>
      <c r="D34" s="11">
        <f>(H34-$B$14)/100</f>
        <v>4.4300000000000068E-2</v>
      </c>
      <c r="E34" s="11">
        <f ca="1">ABS(D34/$E$23)</f>
        <v>6.0916340761523982</v>
      </c>
      <c r="F34" s="11">
        <f ca="1">1-_xlfn.NORM.S.DIST(E34,1)</f>
        <v>5.5881965721482629E-10</v>
      </c>
      <c r="G34" s="11">
        <f>IF(D34&gt;0,0,0.25*$B$26)</f>
        <v>0</v>
      </c>
      <c r="H34" s="4">
        <v>158</v>
      </c>
      <c r="I34" t="str">
        <f>($I$29&amp;" "&amp;H34&amp;" COMB Curncy")</f>
        <v>3BV5C 158 COMB Curncy</v>
      </c>
      <c r="J34" s="35">
        <f ca="1">-1*CGBlackScholes("t","c",B$14,H34,$B$24/365,$B$16,$B$15,B34)/100</f>
        <v>1.3546367410700516E-4</v>
      </c>
      <c r="K34" s="35">
        <f ca="1">J34*P34</f>
        <v>0</v>
      </c>
      <c r="L34" s="57">
        <f ca="1">CGBlackScholes("g","c",B$14,H34,$B$24/365,$B$16,$B$15,B34)</f>
        <v>2.4671444005800982E-2</v>
      </c>
      <c r="M34" s="39" t="e">
        <f ca="1">((M35+M36)/2)/$B$24</f>
        <v>#VALUE!</v>
      </c>
      <c r="N34" s="47" t="e">
        <f ca="1">(MIN($J34,$M34) - $B$22*$B$23/10000*$F34)*10000</f>
        <v>#VALUE!</v>
      </c>
      <c r="O34" s="43" t="str">
        <f>ROUND((($M36*10000)+$B$23),0)&amp;" ticks"</f>
        <v>13 ticks</v>
      </c>
      <c r="P34" s="54">
        <f>SUM(Q33:AL33)</f>
        <v>0</v>
      </c>
      <c r="Q34" s="33" t="e">
        <f t="shared" ref="Q34:AL34" ca="1" si="16">(MIN(($J34+Q$24),($M34+Q$29))- $B$26 - (($B$22*$B$26)*MAX($F34,Q$20))-($G34+Q$21))* 10000</f>
        <v>#VALUE!</v>
      </c>
      <c r="R34" s="33" t="e">
        <f t="shared" ca="1" si="16"/>
        <v>#VALUE!</v>
      </c>
      <c r="S34" s="33" t="e">
        <f t="shared" ca="1" si="16"/>
        <v>#VALUE!</v>
      </c>
      <c r="T34" s="33" t="e">
        <f t="shared" ca="1" si="16"/>
        <v>#VALUE!</v>
      </c>
      <c r="U34" s="33" t="e">
        <f t="shared" ca="1" si="16"/>
        <v>#VALUE!</v>
      </c>
      <c r="V34" s="33" t="e">
        <f t="shared" ca="1" si="16"/>
        <v>#VALUE!</v>
      </c>
      <c r="W34" s="33" t="e">
        <f t="shared" ca="1" si="16"/>
        <v>#VALUE!</v>
      </c>
      <c r="X34" s="33" t="e">
        <f t="shared" ca="1" si="16"/>
        <v>#VALUE!</v>
      </c>
      <c r="Y34" s="33" t="e">
        <f t="shared" ca="1" si="16"/>
        <v>#VALUE!</v>
      </c>
      <c r="Z34" s="33" t="e">
        <f t="shared" ca="1" si="16"/>
        <v>#VALUE!</v>
      </c>
      <c r="AA34" s="33" t="e">
        <f t="shared" ca="1" si="16"/>
        <v>#VALUE!</v>
      </c>
      <c r="AB34" s="33" t="e">
        <f t="shared" ca="1" si="16"/>
        <v>#VALUE!</v>
      </c>
      <c r="AC34" s="33" t="e">
        <f t="shared" ca="1" si="16"/>
        <v>#VALUE!</v>
      </c>
      <c r="AD34" s="33" t="e">
        <f t="shared" ca="1" si="16"/>
        <v>#VALUE!</v>
      </c>
      <c r="AE34" s="33" t="e">
        <f t="shared" ca="1" si="16"/>
        <v>#VALUE!</v>
      </c>
      <c r="AF34" s="33" t="e">
        <f t="shared" ca="1" si="16"/>
        <v>#VALUE!</v>
      </c>
      <c r="AG34" s="33" t="e">
        <f t="shared" ca="1" si="16"/>
        <v>#VALUE!</v>
      </c>
      <c r="AH34" s="33" t="e">
        <f t="shared" ca="1" si="16"/>
        <v>#VALUE!</v>
      </c>
      <c r="AI34" s="33" t="e">
        <f t="shared" ca="1" si="16"/>
        <v>#VALUE!</v>
      </c>
      <c r="AJ34" s="33" t="e">
        <f t="shared" ca="1" si="16"/>
        <v>#VALUE!</v>
      </c>
      <c r="AK34" s="33" t="e">
        <f t="shared" ca="1" si="16"/>
        <v>#VALUE!</v>
      </c>
      <c r="AL34" s="33" t="e">
        <f t="shared" ca="1" si="16"/>
        <v>#VALUE!</v>
      </c>
    </row>
    <row r="35" spans="1:38" s="23" customFormat="1">
      <c r="H35" s="22"/>
      <c r="J35" s="36"/>
      <c r="K35" s="35">
        <f t="shared" ref="K35:K98" si="17">J35*P35</f>
        <v>0</v>
      </c>
      <c r="L35" s="59" t="s">
        <v>60</v>
      </c>
      <c r="M35" s="39" t="e">
        <f>IF(D34&gt;0,_xll.BDP(I34,"BID")/100,(_xll.BDP(I34,"BID")/100)+D34)</f>
        <v>#VALUE!</v>
      </c>
      <c r="N35" s="48"/>
      <c r="O35" s="43"/>
      <c r="P35" s="53"/>
      <c r="Q35" s="34">
        <f>Q$15+$A34</f>
        <v>-3.7429999999999998E-3</v>
      </c>
      <c r="R35" s="34">
        <f t="shared" ref="R35:AL35" si="18">R$15+$A34</f>
        <v>-3.0719999999999983E-3</v>
      </c>
      <c r="S35" s="34">
        <f t="shared" si="18"/>
        <v>-2.2819999999999993E-3</v>
      </c>
      <c r="T35" s="34">
        <f t="shared" si="18"/>
        <v>-1.4449999999999984E-3</v>
      </c>
      <c r="U35" s="34">
        <f t="shared" si="18"/>
        <v>-5.4299999999999835E-4</v>
      </c>
      <c r="V35" s="34">
        <f t="shared" si="18"/>
        <v>6.9000000000000138E-4</v>
      </c>
      <c r="W35" s="34">
        <f t="shared" si="18"/>
        <v>1.3202E-2</v>
      </c>
      <c r="X35" s="34">
        <f t="shared" si="18"/>
        <v>1.6191000000000004E-2</v>
      </c>
      <c r="Y35" s="34">
        <f t="shared" si="18"/>
        <v>6.5920000000000024E-3</v>
      </c>
      <c r="Z35" s="34">
        <f t="shared" si="18"/>
        <v>5.1560999999999996E-2</v>
      </c>
      <c r="AA35" s="34">
        <f t="shared" si="18"/>
        <v>9.8623000000000002E-2</v>
      </c>
      <c r="AB35" s="34">
        <f t="shared" si="18"/>
        <v>0.18976799999999999</v>
      </c>
      <c r="AC35" s="34">
        <f t="shared" si="18"/>
        <v>0.31258199999999997</v>
      </c>
      <c r="AD35" s="34">
        <f t="shared" si="18"/>
        <v>0.46531599999999995</v>
      </c>
      <c r="AE35" s="34">
        <f t="shared" si="18"/>
        <v>0.61268200000000006</v>
      </c>
      <c r="AF35" s="34">
        <f t="shared" si="18"/>
        <v>0.74440200000000001</v>
      </c>
      <c r="AG35" s="34">
        <f t="shared" si="18"/>
        <v>0.84529600000000005</v>
      </c>
      <c r="AH35" s="34">
        <f t="shared" si="18"/>
        <v>0.89053800000000005</v>
      </c>
      <c r="AI35" s="34">
        <f t="shared" si="18"/>
        <v>0.92574200000000006</v>
      </c>
      <c r="AJ35" s="34">
        <f t="shared" si="18"/>
        <v>0.94333100000000003</v>
      </c>
      <c r="AK35" s="34">
        <f t="shared" si="18"/>
        <v>0.95750200000000008</v>
      </c>
      <c r="AL35" s="34">
        <f t="shared" si="18"/>
        <v>0.965198</v>
      </c>
    </row>
    <row r="36" spans="1:38" s="4" customFormat="1" ht="12.75" thickBot="1">
      <c r="A36" s="19"/>
      <c r="B36" s="3"/>
      <c r="C36" s="3"/>
      <c r="D36" s="20"/>
      <c r="E36" s="20"/>
      <c r="F36" s="20"/>
      <c r="G36" s="20"/>
      <c r="J36" s="35"/>
      <c r="K36" s="35">
        <f t="shared" si="17"/>
        <v>0</v>
      </c>
      <c r="L36" s="59" t="s">
        <v>61</v>
      </c>
      <c r="M36" s="39">
        <f>IF(D34&gt;0,_xll.BDP(I34,"ASK")/100,(_xll.BDP(I34,"ASK")/100)+D34)</f>
        <v>1E-4</v>
      </c>
      <c r="N36" s="49"/>
      <c r="O36" s="43"/>
      <c r="P36" s="53"/>
      <c r="Q36" s="28" t="str">
        <f>$H34&amp;$H$29&amp;"_"&amp;Q$22&amp;$P$22</f>
        <v>158C_147P</v>
      </c>
      <c r="R36" s="28" t="str">
        <f>$H34&amp;$H$29&amp;"_"&amp;R$22&amp;$P$22</f>
        <v>158C_147.5P</v>
      </c>
      <c r="S36" s="28" t="str">
        <f>$H34&amp;$H$29&amp;"_"&amp;S$22&amp;$P$22</f>
        <v>158C_148P</v>
      </c>
      <c r="T36" s="28" t="str">
        <f>$H34&amp;$H$29&amp;"_"&amp;T$22&amp;$P$22</f>
        <v>158C_148.5P</v>
      </c>
      <c r="U36" s="28" t="str">
        <f>$H34&amp;$H$29&amp;"_"&amp;U$22&amp;$P$22</f>
        <v>158C_149P</v>
      </c>
      <c r="V36" s="28" t="str">
        <f>$H34&amp;$H$29&amp;"_"&amp;V$22&amp;$P$22</f>
        <v>158C_149.5P</v>
      </c>
      <c r="W36" s="28" t="str">
        <f>$H34&amp;$H$29&amp;"_"&amp;W$22&amp;$P$22</f>
        <v>158C_150P</v>
      </c>
      <c r="X36" s="28" t="str">
        <f>$H34&amp;$H$29&amp;"_"&amp;X$22&amp;$P$22</f>
        <v>158C_150.5P</v>
      </c>
      <c r="Y36" s="28" t="str">
        <f>$H34&amp;$H$29&amp;"_"&amp;Y$22&amp;$P$22</f>
        <v>158C_151P</v>
      </c>
      <c r="Z36" s="28" t="str">
        <f>$H34&amp;$H$29&amp;"_"&amp;Z$22&amp;$P$22</f>
        <v>158C_151.5P</v>
      </c>
      <c r="AA36" s="28" t="str">
        <f>$H34&amp;$H$29&amp;"_"&amp;AA$22&amp;$P$22</f>
        <v>158C_152P</v>
      </c>
      <c r="AB36" s="28" t="str">
        <f>$H34&amp;$H$29&amp;"_"&amp;AB$22&amp;$P$22</f>
        <v>158C_152.5P</v>
      </c>
      <c r="AC36" s="28" t="str">
        <f>$H34&amp;$H$29&amp;"_"&amp;AC$22&amp;$P$22</f>
        <v>158C_153P</v>
      </c>
      <c r="AD36" s="28" t="str">
        <f>$H34&amp;$H$29&amp;"_"&amp;AD$22&amp;$P$22</f>
        <v>158C_153.5P</v>
      </c>
      <c r="AE36" s="28" t="str">
        <f>$H34&amp;$H$29&amp;"_"&amp;AE$22&amp;$P$22</f>
        <v>158C_154P</v>
      </c>
      <c r="AF36" s="28" t="str">
        <f>$H34&amp;$H$29&amp;"_"&amp;AF$22&amp;$P$22</f>
        <v>158C_154.5P</v>
      </c>
      <c r="AG36" s="28" t="str">
        <f>$H34&amp;$H$29&amp;"_"&amp;AG$22&amp;$P$22</f>
        <v>158C_155P</v>
      </c>
      <c r="AH36" s="28" t="str">
        <f>$H34&amp;$H$29&amp;"_"&amp;AH$22&amp;$P$22</f>
        <v>158C_155.5P</v>
      </c>
      <c r="AI36" s="28" t="str">
        <f>$H34&amp;$H$29&amp;"_"&amp;AI$22&amp;$P$22</f>
        <v>158C_156P</v>
      </c>
      <c r="AJ36" s="28" t="str">
        <f>$H34&amp;$H$29&amp;"_"&amp;AJ$22&amp;$P$22</f>
        <v>158C_156.5P</v>
      </c>
      <c r="AK36" s="28" t="str">
        <f>$H34&amp;$H$29&amp;"_"&amp;AK$22&amp;$P$22</f>
        <v>158C_157P</v>
      </c>
      <c r="AL36" s="28" t="str">
        <f>$H34&amp;$H$29&amp;"_"&amp;AL$22&amp;$P$22</f>
        <v>158C_157.5P</v>
      </c>
    </row>
    <row r="37" spans="1:38" s="4" customFormat="1" ht="12.75" thickTop="1">
      <c r="A37" s="19"/>
      <c r="B37" s="3"/>
      <c r="C37" s="3"/>
      <c r="D37" s="20"/>
      <c r="E37" s="20"/>
      <c r="F37" s="20"/>
      <c r="G37" s="20"/>
      <c r="J37" s="35"/>
      <c r="K37" s="35">
        <f t="shared" si="17"/>
        <v>0</v>
      </c>
      <c r="L37" s="60"/>
      <c r="M37" s="39"/>
      <c r="N37" s="48"/>
      <c r="O37" s="43"/>
      <c r="P37" s="53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</row>
    <row r="38" spans="1:38">
      <c r="A38" s="16">
        <f>_xll.BDP($I38, A$29)/-1</f>
        <v>-2.5523000000000001E-2</v>
      </c>
      <c r="B38" s="12">
        <f>_xll.BDP($I38, B$29)/100</f>
        <v>0.13111627000000001</v>
      </c>
      <c r="C38" s="6">
        <f ca="1">B38*(MIN(SQRT(1/365),(SQRT(($B$24/365)))))</f>
        <v>6.862939235879756E-3</v>
      </c>
      <c r="D38" s="11">
        <f>(H38-$B$14)/100</f>
        <v>3.930000000000234E-2</v>
      </c>
      <c r="E38" s="11">
        <f t="shared" ref="E38:E122" ca="1" si="19">ABS(D38/$E$23)</f>
        <v>5.4040907266998452</v>
      </c>
      <c r="F38" s="11">
        <f t="shared" ref="F38:F122" ca="1" si="20">1-_xlfn.NORM.S.DIST(E38,1)</f>
        <v>3.2568985064429512E-8</v>
      </c>
      <c r="G38" s="11">
        <f>IF(D38&gt;0,0,0.25*$B$26)</f>
        <v>0</v>
      </c>
      <c r="H38" s="4">
        <v>157.50000000000023</v>
      </c>
      <c r="I38" t="str">
        <f>($I$29&amp;" "&amp;H38&amp;" COMB Curncy")</f>
        <v>3BV5C 157.5 COMB Curncy</v>
      </c>
      <c r="J38" s="35">
        <f ca="1">-1*CGBlackScholes("t","c",B$14,H38,$B$24/365,$B$16,$B$15,B38)/100</f>
        <v>2.1197401349034418E-4</v>
      </c>
      <c r="K38" s="35">
        <f t="shared" ca="1" si="17"/>
        <v>0</v>
      </c>
      <c r="L38" s="57">
        <f ca="1">CGBlackScholes("g","c",B$14,H38,$B$24/365,$B$16,$B$15,B38)</f>
        <v>3.8167906669671244E-2</v>
      </c>
      <c r="M38" s="39" t="e">
        <f ca="1">((M39+M40)/2)/$B$24</f>
        <v>#VALUE!</v>
      </c>
      <c r="N38" s="48" t="e">
        <f ca="1">(MIN($J38,$M38) - $B$22*$B$23/10000*$F38)*10000</f>
        <v>#VALUE!</v>
      </c>
      <c r="O38" s="43" t="str">
        <f>ROUND((($M40*10000)+$B$23),0)&amp;" ticks"</f>
        <v>14 ticks</v>
      </c>
      <c r="P38" s="54">
        <f>SUM(Q37:AL37)</f>
        <v>0</v>
      </c>
      <c r="Q38" s="33" t="e">
        <f t="shared" ref="Q38:AL38" ca="1" si="21">(MIN(($J38+Q$24),($M38+Q$29))- $B$26 - (($B$22*$B$26)*MAX($F38,Q$20))-($G38+Q$21))* 10000</f>
        <v>#VALUE!</v>
      </c>
      <c r="R38" s="33" t="e">
        <f t="shared" ca="1" si="21"/>
        <v>#VALUE!</v>
      </c>
      <c r="S38" s="33" t="e">
        <f t="shared" ca="1" si="21"/>
        <v>#VALUE!</v>
      </c>
      <c r="T38" s="33" t="e">
        <f t="shared" ca="1" si="21"/>
        <v>#VALUE!</v>
      </c>
      <c r="U38" s="33" t="e">
        <f t="shared" ca="1" si="21"/>
        <v>#VALUE!</v>
      </c>
      <c r="V38" s="33" t="e">
        <f t="shared" ca="1" si="21"/>
        <v>#VALUE!</v>
      </c>
      <c r="W38" s="33" t="e">
        <f t="shared" ca="1" si="21"/>
        <v>#VALUE!</v>
      </c>
      <c r="X38" s="33" t="e">
        <f t="shared" ca="1" si="21"/>
        <v>#VALUE!</v>
      </c>
      <c r="Y38" s="33" t="e">
        <f t="shared" ca="1" si="21"/>
        <v>#VALUE!</v>
      </c>
      <c r="Z38" s="33" t="e">
        <f t="shared" ca="1" si="21"/>
        <v>#VALUE!</v>
      </c>
      <c r="AA38" s="33" t="e">
        <f t="shared" ca="1" si="21"/>
        <v>#VALUE!</v>
      </c>
      <c r="AB38" s="33" t="e">
        <f t="shared" ca="1" si="21"/>
        <v>#VALUE!</v>
      </c>
      <c r="AC38" s="33" t="e">
        <f t="shared" ca="1" si="21"/>
        <v>#VALUE!</v>
      </c>
      <c r="AD38" s="33" t="e">
        <f t="shared" ca="1" si="21"/>
        <v>#VALUE!</v>
      </c>
      <c r="AE38" s="33" t="e">
        <f t="shared" ca="1" si="21"/>
        <v>#VALUE!</v>
      </c>
      <c r="AF38" s="33" t="e">
        <f t="shared" ca="1" si="21"/>
        <v>#VALUE!</v>
      </c>
      <c r="AG38" s="33" t="e">
        <f t="shared" ca="1" si="21"/>
        <v>#VALUE!</v>
      </c>
      <c r="AH38" s="33" t="e">
        <f t="shared" ca="1" si="21"/>
        <v>#VALUE!</v>
      </c>
      <c r="AI38" s="33" t="e">
        <f t="shared" ca="1" si="21"/>
        <v>#VALUE!</v>
      </c>
      <c r="AJ38" s="33" t="e">
        <f t="shared" ca="1" si="21"/>
        <v>#VALUE!</v>
      </c>
      <c r="AK38" s="33" t="e">
        <f t="shared" ca="1" si="21"/>
        <v>#VALUE!</v>
      </c>
      <c r="AL38" s="33" t="e">
        <f t="shared" ca="1" si="21"/>
        <v>#VALUE!</v>
      </c>
    </row>
    <row r="39" spans="1:38" s="23" customFormat="1">
      <c r="H39" s="22"/>
      <c r="J39" s="36"/>
      <c r="K39" s="35">
        <f t="shared" si="17"/>
        <v>0</v>
      </c>
      <c r="L39" s="59" t="s">
        <v>60</v>
      </c>
      <c r="M39" s="39" t="e">
        <f>IF(D38&gt;0,_xll.BDP(I38,"BID")/100,(_xll.BDP(I38,"BID")/100)+D38)</f>
        <v>#VALUE!</v>
      </c>
      <c r="N39" s="48"/>
      <c r="O39" s="43"/>
      <c r="P39" s="53"/>
      <c r="Q39" s="34">
        <f>Q$15+$A38</f>
        <v>-1.5503000000000001E-2</v>
      </c>
      <c r="R39" s="34">
        <f t="shared" ref="R39:AL39" si="22">R$15+$A38</f>
        <v>-1.4832E-2</v>
      </c>
      <c r="S39" s="34">
        <f t="shared" si="22"/>
        <v>-1.4042000000000001E-2</v>
      </c>
      <c r="T39" s="34">
        <f t="shared" si="22"/>
        <v>-1.3205E-2</v>
      </c>
      <c r="U39" s="34">
        <f t="shared" si="22"/>
        <v>-1.2303E-2</v>
      </c>
      <c r="V39" s="34">
        <f t="shared" si="22"/>
        <v>-1.107E-2</v>
      </c>
      <c r="W39" s="34">
        <f t="shared" si="22"/>
        <v>1.4419999999999988E-3</v>
      </c>
      <c r="X39" s="34">
        <f t="shared" si="22"/>
        <v>4.4310000000000009E-3</v>
      </c>
      <c r="Y39" s="34">
        <f t="shared" si="22"/>
        <v>-5.167999999999999E-3</v>
      </c>
      <c r="Z39" s="34">
        <f t="shared" si="22"/>
        <v>3.9800999999999989E-2</v>
      </c>
      <c r="AA39" s="34">
        <f t="shared" si="22"/>
        <v>8.6862999999999996E-2</v>
      </c>
      <c r="AB39" s="34">
        <f t="shared" si="22"/>
        <v>0.178008</v>
      </c>
      <c r="AC39" s="34">
        <f t="shared" si="22"/>
        <v>0.30082199999999998</v>
      </c>
      <c r="AD39" s="34">
        <f t="shared" si="22"/>
        <v>0.45355599999999996</v>
      </c>
      <c r="AE39" s="34">
        <f t="shared" si="22"/>
        <v>0.60092200000000007</v>
      </c>
      <c r="AF39" s="34">
        <f t="shared" si="22"/>
        <v>0.73264200000000002</v>
      </c>
      <c r="AG39" s="34">
        <f t="shared" si="22"/>
        <v>0.83353600000000005</v>
      </c>
      <c r="AH39" s="34">
        <f t="shared" si="22"/>
        <v>0.87877800000000006</v>
      </c>
      <c r="AI39" s="34">
        <f t="shared" si="22"/>
        <v>0.91398200000000007</v>
      </c>
      <c r="AJ39" s="34">
        <f t="shared" si="22"/>
        <v>0.93157100000000004</v>
      </c>
      <c r="AK39" s="34">
        <f t="shared" si="22"/>
        <v>0.94574200000000008</v>
      </c>
      <c r="AL39" s="34">
        <f t="shared" si="22"/>
        <v>0.95343800000000001</v>
      </c>
    </row>
    <row r="40" spans="1:38" s="4" customFormat="1" ht="12.75" thickBot="1">
      <c r="A40" s="19"/>
      <c r="B40" s="3"/>
      <c r="C40" s="3"/>
      <c r="D40" s="20"/>
      <c r="E40" s="20"/>
      <c r="F40" s="20"/>
      <c r="G40" s="20"/>
      <c r="J40" s="35"/>
      <c r="K40" s="35">
        <f t="shared" si="17"/>
        <v>0</v>
      </c>
      <c r="L40" s="59" t="s">
        <v>61</v>
      </c>
      <c r="M40" s="39">
        <f>IF(D38&gt;0,_xll.BDP(I38,"ASK")/100,(_xll.BDP(I38,"ASK")/100)+D38)</f>
        <v>2.0000000000000001E-4</v>
      </c>
      <c r="N40" s="50"/>
      <c r="O40" s="43"/>
      <c r="P40" s="53"/>
      <c r="Q40" s="28" t="str">
        <f>$H38&amp;$H$29&amp;"_"&amp;Q$22&amp;$P$22</f>
        <v>157.5C_147P</v>
      </c>
      <c r="R40" s="28" t="str">
        <f>$H38&amp;$H$29&amp;"_"&amp;R$22&amp;$P$22</f>
        <v>157.5C_147.5P</v>
      </c>
      <c r="S40" s="28" t="str">
        <f>$H38&amp;$H$29&amp;"_"&amp;S$22&amp;$P$22</f>
        <v>157.5C_148P</v>
      </c>
      <c r="T40" s="28" t="str">
        <f>$H38&amp;$H$29&amp;"_"&amp;T$22&amp;$P$22</f>
        <v>157.5C_148.5P</v>
      </c>
      <c r="U40" s="28" t="str">
        <f>$H38&amp;$H$29&amp;"_"&amp;U$22&amp;$P$22</f>
        <v>157.5C_149P</v>
      </c>
      <c r="V40" s="28" t="str">
        <f>$H38&amp;$H$29&amp;"_"&amp;V$22&amp;$P$22</f>
        <v>157.5C_149.5P</v>
      </c>
      <c r="W40" s="28" t="str">
        <f>$H38&amp;$H$29&amp;"_"&amp;W$22&amp;$P$22</f>
        <v>157.5C_150P</v>
      </c>
      <c r="X40" s="28" t="str">
        <f>$H38&amp;$H$29&amp;"_"&amp;X$22&amp;$P$22</f>
        <v>157.5C_150.5P</v>
      </c>
      <c r="Y40" s="28" t="str">
        <f>$H38&amp;$H$29&amp;"_"&amp;Y$22&amp;$P$22</f>
        <v>157.5C_151P</v>
      </c>
      <c r="Z40" s="28" t="str">
        <f>$H38&amp;$H$29&amp;"_"&amp;Z$22&amp;$P$22</f>
        <v>157.5C_151.5P</v>
      </c>
      <c r="AA40" s="28" t="str">
        <f>$H38&amp;$H$29&amp;"_"&amp;AA$22&amp;$P$22</f>
        <v>157.5C_152P</v>
      </c>
      <c r="AB40" s="28" t="str">
        <f>$H38&amp;$H$29&amp;"_"&amp;AB$22&amp;$P$22</f>
        <v>157.5C_152.5P</v>
      </c>
      <c r="AC40" s="28" t="str">
        <f>$H38&amp;$H$29&amp;"_"&amp;AC$22&amp;$P$22</f>
        <v>157.5C_153P</v>
      </c>
      <c r="AD40" s="28" t="str">
        <f>$H38&amp;$H$29&amp;"_"&amp;AD$22&amp;$P$22</f>
        <v>157.5C_153.5P</v>
      </c>
      <c r="AE40" s="28" t="str">
        <f>$H38&amp;$H$29&amp;"_"&amp;AE$22&amp;$P$22</f>
        <v>157.5C_154P</v>
      </c>
      <c r="AF40" s="28" t="str">
        <f>$H38&amp;$H$29&amp;"_"&amp;AF$22&amp;$P$22</f>
        <v>157.5C_154.5P</v>
      </c>
      <c r="AG40" s="28" t="str">
        <f>$H38&amp;$H$29&amp;"_"&amp;AG$22&amp;$P$22</f>
        <v>157.5C_155P</v>
      </c>
      <c r="AH40" s="28" t="str">
        <f>$H38&amp;$H$29&amp;"_"&amp;AH$22&amp;$P$22</f>
        <v>157.5C_155.5P</v>
      </c>
      <c r="AI40" s="28" t="str">
        <f>$H38&amp;$H$29&amp;"_"&amp;AI$22&amp;$P$22</f>
        <v>157.5C_156P</v>
      </c>
      <c r="AJ40" s="28" t="str">
        <f>$H38&amp;$H$29&amp;"_"&amp;AJ$22&amp;$P$22</f>
        <v>157.5C_156.5P</v>
      </c>
      <c r="AK40" s="28" t="str">
        <f>$H38&amp;$H$29&amp;"_"&amp;AK$22&amp;$P$22</f>
        <v>157.5C_157P</v>
      </c>
      <c r="AL40" s="28" t="str">
        <f>$H38&amp;$H$29&amp;"_"&amp;AL$22&amp;$P$22</f>
        <v>157.5C_157.5P</v>
      </c>
    </row>
    <row r="41" spans="1:38" s="4" customFormat="1" ht="12.75" thickTop="1">
      <c r="A41" s="19"/>
      <c r="B41" s="3"/>
      <c r="C41" s="3"/>
      <c r="D41" s="20"/>
      <c r="E41" s="20"/>
      <c r="F41" s="20"/>
      <c r="G41" s="20"/>
      <c r="J41" s="35"/>
      <c r="K41" s="35">
        <f t="shared" si="17"/>
        <v>0</v>
      </c>
      <c r="L41" s="57"/>
      <c r="M41" s="39"/>
      <c r="N41" s="48"/>
      <c r="O41" s="43"/>
      <c r="P41" s="53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</row>
    <row r="42" spans="1:38">
      <c r="A42" s="16">
        <f>_xll.BDP($I42, A$29)/-1</f>
        <v>-2.8662E-2</v>
      </c>
      <c r="B42" s="12">
        <f>_xll.BDP($I42, B$29)/100</f>
        <v>0.11599807000000001</v>
      </c>
      <c r="C42" s="6">
        <f ca="1">B42*(MIN(SQRT(1/365),(SQRT(($B$24/365)))))</f>
        <v>6.0716164812294193E-3</v>
      </c>
      <c r="D42" s="11">
        <f>(H42-$B$14)/100</f>
        <v>3.4300000000002343E-2</v>
      </c>
      <c r="E42" s="11">
        <f t="shared" ca="1" si="19"/>
        <v>4.7165473772469797</v>
      </c>
      <c r="F42" s="11">
        <f t="shared" ca="1" si="20"/>
        <v>1.1994026399841928E-6</v>
      </c>
      <c r="G42" s="11">
        <f>IF(D42&gt;0,0,0.25*$B$26)</f>
        <v>0</v>
      </c>
      <c r="H42" s="4">
        <v>157.00000000000023</v>
      </c>
      <c r="I42" t="str">
        <f>($I$29&amp;" "&amp;H42&amp;" COMB Curncy")</f>
        <v>3BV5C 157 COMB Curncy</v>
      </c>
      <c r="J42" s="35">
        <f ca="1">-1*CGBlackScholes("t","c",B$14,H42,$B$24/365,$B$16,$B$15,B42)/100</f>
        <v>1.9435815261542203E-4</v>
      </c>
      <c r="K42" s="35">
        <f t="shared" ca="1" si="17"/>
        <v>0</v>
      </c>
      <c r="L42" s="57">
        <f ca="1">CGBlackScholes("g","c",B$14,H42,$B$24/365,$B$16,$B$15,B42)</f>
        <v>4.4712650611411983E-2</v>
      </c>
      <c r="M42" s="39" t="e">
        <f ca="1">((M43+M44)/2)/$B$24</f>
        <v>#VALUE!</v>
      </c>
      <c r="N42" s="48" t="e">
        <f ca="1">(MIN($J42,$M42) - $B$22*$B$23/10000*$F42)*10000</f>
        <v>#VALUE!</v>
      </c>
      <c r="O42" s="43" t="str">
        <f>ROUND((($M44*10000)+$B$23),0)&amp;" ticks"</f>
        <v>14 ticks</v>
      </c>
      <c r="P42" s="54">
        <f>SUM(Q41:AL41)</f>
        <v>0</v>
      </c>
      <c r="Q42" s="33" t="e">
        <f t="shared" ref="Q42:AL42" ca="1" si="23">(MIN(($J42+Q$24),($M42+Q$29))- $B$26 - (($B$22*$B$26)*MAX($F42,Q$20))-($G42+Q$21))* 10000</f>
        <v>#VALUE!</v>
      </c>
      <c r="R42" s="33" t="e">
        <f t="shared" ca="1" si="23"/>
        <v>#VALUE!</v>
      </c>
      <c r="S42" s="33" t="e">
        <f t="shared" ca="1" si="23"/>
        <v>#VALUE!</v>
      </c>
      <c r="T42" s="33" t="e">
        <f t="shared" ca="1" si="23"/>
        <v>#VALUE!</v>
      </c>
      <c r="U42" s="33" t="e">
        <f t="shared" ca="1" si="23"/>
        <v>#VALUE!</v>
      </c>
      <c r="V42" s="33" t="e">
        <f t="shared" ca="1" si="23"/>
        <v>#VALUE!</v>
      </c>
      <c r="W42" s="33" t="e">
        <f t="shared" ca="1" si="23"/>
        <v>#VALUE!</v>
      </c>
      <c r="X42" s="33" t="e">
        <f t="shared" ca="1" si="23"/>
        <v>#VALUE!</v>
      </c>
      <c r="Y42" s="33" t="e">
        <f t="shared" ca="1" si="23"/>
        <v>#VALUE!</v>
      </c>
      <c r="Z42" s="33" t="e">
        <f t="shared" ca="1" si="23"/>
        <v>#VALUE!</v>
      </c>
      <c r="AA42" s="33" t="e">
        <f t="shared" ca="1" si="23"/>
        <v>#VALUE!</v>
      </c>
      <c r="AB42" s="33" t="e">
        <f t="shared" ca="1" si="23"/>
        <v>#VALUE!</v>
      </c>
      <c r="AC42" s="33" t="e">
        <f t="shared" ca="1" si="23"/>
        <v>#VALUE!</v>
      </c>
      <c r="AD42" s="33" t="e">
        <f t="shared" ca="1" si="23"/>
        <v>#VALUE!</v>
      </c>
      <c r="AE42" s="33" t="e">
        <f t="shared" ca="1" si="23"/>
        <v>#VALUE!</v>
      </c>
      <c r="AF42" s="33" t="e">
        <f t="shared" ca="1" si="23"/>
        <v>#VALUE!</v>
      </c>
      <c r="AG42" s="33" t="e">
        <f t="shared" ca="1" si="23"/>
        <v>#VALUE!</v>
      </c>
      <c r="AH42" s="33" t="e">
        <f t="shared" ca="1" si="23"/>
        <v>#VALUE!</v>
      </c>
      <c r="AI42" s="33" t="e">
        <f t="shared" ca="1" si="23"/>
        <v>#VALUE!</v>
      </c>
      <c r="AJ42" s="33" t="e">
        <f t="shared" ca="1" si="23"/>
        <v>#VALUE!</v>
      </c>
      <c r="AK42" s="33" t="e">
        <f t="shared" ca="1" si="23"/>
        <v>#VALUE!</v>
      </c>
      <c r="AL42" s="33" t="e">
        <f t="shared" ca="1" si="23"/>
        <v>#VALUE!</v>
      </c>
    </row>
    <row r="43" spans="1:38" s="23" customFormat="1">
      <c r="H43" s="22"/>
      <c r="J43" s="36"/>
      <c r="K43" s="35">
        <f t="shared" si="17"/>
        <v>0</v>
      </c>
      <c r="L43" s="59" t="s">
        <v>60</v>
      </c>
      <c r="M43" s="39" t="e">
        <f>IF(D42&gt;0,_xll.BDP(I42,"BID")/100,(_xll.BDP(I42,"BID")/100)+D42)</f>
        <v>#VALUE!</v>
      </c>
      <c r="N43" s="48"/>
      <c r="O43" s="43"/>
      <c r="P43" s="53"/>
      <c r="Q43" s="34">
        <f>Q$15+$A42</f>
        <v>-1.8641999999999999E-2</v>
      </c>
      <c r="R43" s="34">
        <f t="shared" ref="R43:AL43" si="24">R$15+$A42</f>
        <v>-1.7971000000000001E-2</v>
      </c>
      <c r="S43" s="34">
        <f t="shared" si="24"/>
        <v>-1.7181000000000002E-2</v>
      </c>
      <c r="T43" s="34">
        <f t="shared" si="24"/>
        <v>-1.6343999999999997E-2</v>
      </c>
      <c r="U43" s="34">
        <f t="shared" si="24"/>
        <v>-1.5441999999999999E-2</v>
      </c>
      <c r="V43" s="34">
        <f t="shared" si="24"/>
        <v>-1.4208999999999999E-2</v>
      </c>
      <c r="W43" s="34">
        <f t="shared" si="24"/>
        <v>-1.6970000000000006E-3</v>
      </c>
      <c r="X43" s="34">
        <f t="shared" si="24"/>
        <v>1.2920000000000015E-3</v>
      </c>
      <c r="Y43" s="34">
        <f t="shared" si="24"/>
        <v>-8.3069999999999984E-3</v>
      </c>
      <c r="Z43" s="34">
        <f t="shared" si="24"/>
        <v>3.6661999999999993E-2</v>
      </c>
      <c r="AA43" s="34">
        <f t="shared" si="24"/>
        <v>8.3723999999999993E-2</v>
      </c>
      <c r="AB43" s="34">
        <f t="shared" si="24"/>
        <v>0.174869</v>
      </c>
      <c r="AC43" s="34">
        <f t="shared" si="24"/>
        <v>0.29768299999999998</v>
      </c>
      <c r="AD43" s="34">
        <f t="shared" si="24"/>
        <v>0.45041699999999996</v>
      </c>
      <c r="AE43" s="34">
        <f t="shared" si="24"/>
        <v>0.59778300000000006</v>
      </c>
      <c r="AF43" s="34">
        <f t="shared" si="24"/>
        <v>0.72950300000000001</v>
      </c>
      <c r="AG43" s="34">
        <f t="shared" si="24"/>
        <v>0.83039700000000005</v>
      </c>
      <c r="AH43" s="34">
        <f t="shared" si="24"/>
        <v>0.87563900000000006</v>
      </c>
      <c r="AI43" s="34">
        <f t="shared" si="24"/>
        <v>0.91084300000000007</v>
      </c>
      <c r="AJ43" s="34">
        <f t="shared" si="24"/>
        <v>0.92843200000000004</v>
      </c>
      <c r="AK43" s="34">
        <f t="shared" si="24"/>
        <v>0.94260300000000008</v>
      </c>
      <c r="AL43" s="34">
        <f t="shared" si="24"/>
        <v>0.950299</v>
      </c>
    </row>
    <row r="44" spans="1:38" s="4" customFormat="1" ht="12.75" thickBot="1">
      <c r="A44" s="19"/>
      <c r="B44" s="3"/>
      <c r="C44" s="3"/>
      <c r="D44" s="20"/>
      <c r="E44" s="20"/>
      <c r="F44" s="20"/>
      <c r="G44" s="20"/>
      <c r="J44" s="35"/>
      <c r="K44" s="35">
        <f t="shared" si="17"/>
        <v>0</v>
      </c>
      <c r="L44" s="59" t="s">
        <v>61</v>
      </c>
      <c r="M44" s="39">
        <f>IF(D42&gt;0,_xll.BDP(I42,"ASK")/100,(_xll.BDP(I42,"ASK")/100)+D42)</f>
        <v>2.0000000000000001E-4</v>
      </c>
      <c r="N44" s="50"/>
      <c r="O44" s="43"/>
      <c r="P44" s="53"/>
      <c r="Q44" s="28" t="str">
        <f>$H42&amp;$H$29&amp;"_"&amp;Q$22&amp;$P$22</f>
        <v>157C_147P</v>
      </c>
      <c r="R44" s="28" t="str">
        <f>$H42&amp;$H$29&amp;"_"&amp;R$22&amp;$P$22</f>
        <v>157C_147.5P</v>
      </c>
      <c r="S44" s="28" t="str">
        <f>$H42&amp;$H$29&amp;"_"&amp;S$22&amp;$P$22</f>
        <v>157C_148P</v>
      </c>
      <c r="T44" s="28" t="str">
        <f>$H42&amp;$H$29&amp;"_"&amp;T$22&amp;$P$22</f>
        <v>157C_148.5P</v>
      </c>
      <c r="U44" s="28" t="str">
        <f>$H42&amp;$H$29&amp;"_"&amp;U$22&amp;$P$22</f>
        <v>157C_149P</v>
      </c>
      <c r="V44" s="28" t="str">
        <f>$H42&amp;$H$29&amp;"_"&amp;V$22&amp;$P$22</f>
        <v>157C_149.5P</v>
      </c>
      <c r="W44" s="28" t="str">
        <f>$H42&amp;$H$29&amp;"_"&amp;W$22&amp;$P$22</f>
        <v>157C_150P</v>
      </c>
      <c r="X44" s="28" t="str">
        <f>$H42&amp;$H$29&amp;"_"&amp;X$22&amp;$P$22</f>
        <v>157C_150.5P</v>
      </c>
      <c r="Y44" s="28" t="str">
        <f>$H42&amp;$H$29&amp;"_"&amp;Y$22&amp;$P$22</f>
        <v>157C_151P</v>
      </c>
      <c r="Z44" s="28" t="str">
        <f>$H42&amp;$H$29&amp;"_"&amp;Z$22&amp;$P$22</f>
        <v>157C_151.5P</v>
      </c>
      <c r="AA44" s="28" t="str">
        <f>$H42&amp;$H$29&amp;"_"&amp;AA$22&amp;$P$22</f>
        <v>157C_152P</v>
      </c>
      <c r="AB44" s="28" t="str">
        <f>$H42&amp;$H$29&amp;"_"&amp;AB$22&amp;$P$22</f>
        <v>157C_152.5P</v>
      </c>
      <c r="AC44" s="28" t="str">
        <f>$H42&amp;$H$29&amp;"_"&amp;AC$22&amp;$P$22</f>
        <v>157C_153P</v>
      </c>
      <c r="AD44" s="28" t="str">
        <f>$H42&amp;$H$29&amp;"_"&amp;AD$22&amp;$P$22</f>
        <v>157C_153.5P</v>
      </c>
      <c r="AE44" s="28" t="str">
        <f>$H42&amp;$H$29&amp;"_"&amp;AE$22&amp;$P$22</f>
        <v>157C_154P</v>
      </c>
      <c r="AF44" s="28" t="str">
        <f>$H42&amp;$H$29&amp;"_"&amp;AF$22&amp;$P$22</f>
        <v>157C_154.5P</v>
      </c>
      <c r="AG44" s="28" t="str">
        <f>$H42&amp;$H$29&amp;"_"&amp;AG$22&amp;$P$22</f>
        <v>157C_155P</v>
      </c>
      <c r="AH44" s="28" t="str">
        <f>$H42&amp;$H$29&amp;"_"&amp;AH$22&amp;$P$22</f>
        <v>157C_155.5P</v>
      </c>
      <c r="AI44" s="28" t="str">
        <f>$H42&amp;$H$29&amp;"_"&amp;AI$22&amp;$P$22</f>
        <v>157C_156P</v>
      </c>
      <c r="AJ44" s="28" t="str">
        <f>$H42&amp;$H$29&amp;"_"&amp;AJ$22&amp;$P$22</f>
        <v>157C_156.5P</v>
      </c>
      <c r="AK44" s="28" t="str">
        <f>$H42&amp;$H$29&amp;"_"&amp;AK$22&amp;$P$22</f>
        <v>157C_157P</v>
      </c>
      <c r="AL44" s="28" t="str">
        <f>$H42&amp;$H$29&amp;"_"&amp;AL$22&amp;$P$22</f>
        <v>157C_157.5P</v>
      </c>
    </row>
    <row r="45" spans="1:38" s="4" customFormat="1" ht="12.75" thickTop="1">
      <c r="A45" s="19"/>
      <c r="B45" s="3"/>
      <c r="C45" s="3"/>
      <c r="D45" s="20"/>
      <c r="E45" s="20"/>
      <c r="F45" s="20"/>
      <c r="G45" s="20"/>
      <c r="J45" s="35"/>
      <c r="K45" s="35">
        <f t="shared" si="17"/>
        <v>0</v>
      </c>
      <c r="L45" s="57"/>
      <c r="M45" s="39"/>
      <c r="N45" s="48"/>
      <c r="O45" s="43"/>
      <c r="P45" s="53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</row>
    <row r="46" spans="1:38">
      <c r="A46" s="16">
        <f>_xll.BDP($I46, A$29)/-1</f>
        <v>-3.2050000000000002E-2</v>
      </c>
      <c r="B46" s="12">
        <f>_xll.BDP($I46, B$29)/100</f>
        <v>0.10203126</v>
      </c>
      <c r="C46" s="6">
        <f ca="1">B46*(MIN(SQRT(1/365),(SQRT(($B$24/365)))))</f>
        <v>5.3405602336021969E-3</v>
      </c>
      <c r="D46" s="11">
        <f>(H46-$B$14)/100</f>
        <v>2.9300000000002342E-2</v>
      </c>
      <c r="E46" s="11">
        <f t="shared" ca="1" si="19"/>
        <v>4.0290040277941142</v>
      </c>
      <c r="F46" s="11">
        <f t="shared" ca="1" si="20"/>
        <v>2.8006829372761999E-5</v>
      </c>
      <c r="G46" s="11">
        <f>IF(D46&gt;0,0,0.25*$B$26)</f>
        <v>0</v>
      </c>
      <c r="H46" s="4">
        <v>156.50000000000023</v>
      </c>
      <c r="I46" t="str">
        <f>($I$29&amp;" "&amp;H46&amp;" COMB Curncy")</f>
        <v>3BV5C 156.5 COMB Curncy</v>
      </c>
      <c r="J46" s="35">
        <f ca="1">-1*CGBlackScholes("t","c",B$14,H46,$B$24/365,$B$16,$B$15,B46)/100</f>
        <v>1.8544152660414639E-4</v>
      </c>
      <c r="K46" s="35">
        <f t="shared" ca="1" si="17"/>
        <v>0</v>
      </c>
      <c r="L46" s="57">
        <f ca="1">CGBlackScholes("g","c",B$14,H46,$B$24/365,$B$16,$B$15,B46)</f>
        <v>5.5140456123747655E-2</v>
      </c>
      <c r="M46" s="39">
        <f ca="1">((M47+M48)/2)/$B$24</f>
        <v>4.6559386618857045E-5</v>
      </c>
      <c r="N46" s="48">
        <f ca="1">(MIN($J46,$M46) - $B$22*$B$23/10000*$F46)*10000</f>
        <v>0.46223304666383896</v>
      </c>
      <c r="O46" s="43" t="str">
        <f>ROUND((($M48*10000)+$B$23),0)&amp;" ticks"</f>
        <v>15 ticks</v>
      </c>
      <c r="P46" s="54">
        <f>SUM(Q45:AL45)</f>
        <v>0</v>
      </c>
      <c r="Q46" s="33" t="e">
        <f t="shared" ref="Q46:AL46" ca="1" si="25">(MIN(($J46+Q$24),($M46+Q$29))- $B$26 - (($B$22*$B$26)*MAX($F46,Q$20))-($G46+Q$21))* 10000</f>
        <v>#VALUE!</v>
      </c>
      <c r="R46" s="33" t="e">
        <f t="shared" ca="1" si="25"/>
        <v>#VALUE!</v>
      </c>
      <c r="S46" s="33" t="e">
        <f t="shared" ca="1" si="25"/>
        <v>#VALUE!</v>
      </c>
      <c r="T46" s="33" t="e">
        <f t="shared" ca="1" si="25"/>
        <v>#VALUE!</v>
      </c>
      <c r="U46" s="33" t="e">
        <f t="shared" ca="1" si="25"/>
        <v>#VALUE!</v>
      </c>
      <c r="V46" s="33" t="e">
        <f t="shared" ca="1" si="25"/>
        <v>#VALUE!</v>
      </c>
      <c r="W46" s="33" t="e">
        <f t="shared" ca="1" si="25"/>
        <v>#VALUE!</v>
      </c>
      <c r="X46" s="33" t="e">
        <f t="shared" ca="1" si="25"/>
        <v>#VALUE!</v>
      </c>
      <c r="Y46" s="33">
        <f t="shared" ca="1" si="25"/>
        <v>-1.8680933743084847</v>
      </c>
      <c r="Z46" s="33">
        <f t="shared" ca="1" si="25"/>
        <v>-1.458536836447422</v>
      </c>
      <c r="AA46" s="33">
        <f t="shared" ca="1" si="25"/>
        <v>-1.1294236769697052</v>
      </c>
      <c r="AB46" s="33">
        <f t="shared" ca="1" si="25"/>
        <v>-0.92464766675482302</v>
      </c>
      <c r="AC46" s="33">
        <f t="shared" ca="1" si="25"/>
        <v>-2.0927207927767237</v>
      </c>
      <c r="AD46" s="33">
        <f t="shared" ca="1" si="25"/>
        <v>-7.6284461902875709</v>
      </c>
      <c r="AE46" s="33">
        <f t="shared" ca="1" si="25"/>
        <v>-3.231243853748909</v>
      </c>
      <c r="AF46" s="33">
        <f t="shared" ca="1" si="25"/>
        <v>-1.7593400801274592</v>
      </c>
      <c r="AG46" s="33">
        <f t="shared" ca="1" si="25"/>
        <v>-1.2699830716923604</v>
      </c>
      <c r="AH46" s="33">
        <f t="shared" ca="1" si="25"/>
        <v>-1.8571095755362987</v>
      </c>
      <c r="AI46" s="33">
        <f t="shared" ca="1" si="25"/>
        <v>-2.3396099439922775</v>
      </c>
      <c r="AJ46" s="33">
        <f t="shared" ca="1" si="25"/>
        <v>-2.5615486525206332</v>
      </c>
      <c r="AK46" s="33">
        <f t="shared" ca="1" si="25"/>
        <v>-2.7943455856149173</v>
      </c>
      <c r="AL46" s="33">
        <f t="shared" ca="1" si="25"/>
        <v>-2.9107440521620629</v>
      </c>
    </row>
    <row r="47" spans="1:38" s="23" customFormat="1">
      <c r="H47" s="22"/>
      <c r="J47" s="36"/>
      <c r="K47" s="35">
        <f t="shared" si="17"/>
        <v>0</v>
      </c>
      <c r="L47" s="59" t="s">
        <v>60</v>
      </c>
      <c r="M47" s="39">
        <f>IF(D46&gt;0,_xll.BDP(I46,"BID")/100,(_xll.BDP(I46,"BID")/100)+D46)</f>
        <v>1E-4</v>
      </c>
      <c r="N47" s="48"/>
      <c r="O47" s="43"/>
      <c r="P47" s="53"/>
      <c r="Q47" s="34">
        <f>Q$15+$A46</f>
        <v>-2.2030000000000001E-2</v>
      </c>
      <c r="R47" s="34">
        <f t="shared" ref="R47:AL47" si="26">R$15+$A46</f>
        <v>-2.1359000000000003E-2</v>
      </c>
      <c r="S47" s="34">
        <f t="shared" si="26"/>
        <v>-2.0569000000000004E-2</v>
      </c>
      <c r="T47" s="34">
        <f t="shared" si="26"/>
        <v>-1.9732E-2</v>
      </c>
      <c r="U47" s="34">
        <f t="shared" si="26"/>
        <v>-1.883E-2</v>
      </c>
      <c r="V47" s="34">
        <f t="shared" si="26"/>
        <v>-1.7597000000000002E-2</v>
      </c>
      <c r="W47" s="34">
        <f t="shared" si="26"/>
        <v>-5.0850000000000027E-3</v>
      </c>
      <c r="X47" s="34">
        <f t="shared" si="26"/>
        <v>-2.0960000000000006E-3</v>
      </c>
      <c r="Y47" s="34">
        <f t="shared" si="26"/>
        <v>-1.1695000000000001E-2</v>
      </c>
      <c r="Z47" s="34">
        <f t="shared" si="26"/>
        <v>3.3273999999999991E-2</v>
      </c>
      <c r="AA47" s="34">
        <f t="shared" si="26"/>
        <v>8.0335999999999991E-2</v>
      </c>
      <c r="AB47" s="34">
        <f t="shared" si="26"/>
        <v>0.17148099999999999</v>
      </c>
      <c r="AC47" s="34">
        <f t="shared" si="26"/>
        <v>0.29429499999999997</v>
      </c>
      <c r="AD47" s="34">
        <f t="shared" si="26"/>
        <v>0.44702899999999995</v>
      </c>
      <c r="AE47" s="34">
        <f t="shared" si="26"/>
        <v>0.59439500000000001</v>
      </c>
      <c r="AF47" s="34">
        <f t="shared" si="26"/>
        <v>0.72611499999999995</v>
      </c>
      <c r="AG47" s="34">
        <f t="shared" si="26"/>
        <v>0.82700899999999999</v>
      </c>
      <c r="AH47" s="34">
        <f t="shared" si="26"/>
        <v>0.872251</v>
      </c>
      <c r="AI47" s="34">
        <f t="shared" si="26"/>
        <v>0.90745500000000001</v>
      </c>
      <c r="AJ47" s="34">
        <f t="shared" si="26"/>
        <v>0.92504399999999998</v>
      </c>
      <c r="AK47" s="34">
        <f t="shared" si="26"/>
        <v>0.93921500000000002</v>
      </c>
      <c r="AL47" s="34">
        <f t="shared" si="26"/>
        <v>0.94691099999999995</v>
      </c>
    </row>
    <row r="48" spans="1:38" s="4" customFormat="1" ht="12.75" thickBot="1">
      <c r="A48" s="19"/>
      <c r="B48" s="3"/>
      <c r="C48" s="3"/>
      <c r="D48" s="20"/>
      <c r="E48" s="20"/>
      <c r="F48" s="20"/>
      <c r="G48" s="20"/>
      <c r="J48" s="35"/>
      <c r="K48" s="35">
        <f t="shared" si="17"/>
        <v>0</v>
      </c>
      <c r="L48" s="59" t="s">
        <v>61</v>
      </c>
      <c r="M48" s="39">
        <f>IF(D46&gt;0,_xll.BDP(I46,"ASK")/100,(_xll.BDP(I46,"ASK")/100)+D46)</f>
        <v>2.9999999999999997E-4</v>
      </c>
      <c r="N48" s="50"/>
      <c r="O48" s="43"/>
      <c r="P48" s="53"/>
      <c r="Q48" s="28" t="str">
        <f>$H46&amp;$H$29&amp;"_"&amp;Q$22&amp;$P$22</f>
        <v>156.5C_147P</v>
      </c>
      <c r="R48" s="28" t="str">
        <f>$H46&amp;$H$29&amp;"_"&amp;R$22&amp;$P$22</f>
        <v>156.5C_147.5P</v>
      </c>
      <c r="S48" s="28" t="str">
        <f>$H46&amp;$H$29&amp;"_"&amp;S$22&amp;$P$22</f>
        <v>156.5C_148P</v>
      </c>
      <c r="T48" s="28" t="str">
        <f>$H46&amp;$H$29&amp;"_"&amp;T$22&amp;$P$22</f>
        <v>156.5C_148.5P</v>
      </c>
      <c r="U48" s="28" t="str">
        <f>$H46&amp;$H$29&amp;"_"&amp;U$22&amp;$P$22</f>
        <v>156.5C_149P</v>
      </c>
      <c r="V48" s="28" t="str">
        <f>$H46&amp;$H$29&amp;"_"&amp;V$22&amp;$P$22</f>
        <v>156.5C_149.5P</v>
      </c>
      <c r="W48" s="28" t="str">
        <f>$H46&amp;$H$29&amp;"_"&amp;W$22&amp;$P$22</f>
        <v>156.5C_150P</v>
      </c>
      <c r="X48" s="28" t="str">
        <f>$H46&amp;$H$29&amp;"_"&amp;X$22&amp;$P$22</f>
        <v>156.5C_150.5P</v>
      </c>
      <c r="Y48" s="28" t="str">
        <f>$H46&amp;$H$29&amp;"_"&amp;Y$22&amp;$P$22</f>
        <v>156.5C_151P</v>
      </c>
      <c r="Z48" s="28" t="str">
        <f>$H46&amp;$H$29&amp;"_"&amp;Z$22&amp;$P$22</f>
        <v>156.5C_151.5P</v>
      </c>
      <c r="AA48" s="28" t="str">
        <f>$H46&amp;$H$29&amp;"_"&amp;AA$22&amp;$P$22</f>
        <v>156.5C_152P</v>
      </c>
      <c r="AB48" s="28" t="str">
        <f>$H46&amp;$H$29&amp;"_"&amp;AB$22&amp;$P$22</f>
        <v>156.5C_152.5P</v>
      </c>
      <c r="AC48" s="28" t="str">
        <f>$H46&amp;$H$29&amp;"_"&amp;AC$22&amp;$P$22</f>
        <v>156.5C_153P</v>
      </c>
      <c r="AD48" s="28" t="str">
        <f>$H46&amp;$H$29&amp;"_"&amp;AD$22&amp;$P$22</f>
        <v>156.5C_153.5P</v>
      </c>
      <c r="AE48" s="28" t="str">
        <f>$H46&amp;$H$29&amp;"_"&amp;AE$22&amp;$P$22</f>
        <v>156.5C_154P</v>
      </c>
      <c r="AF48" s="28" t="str">
        <f>$H46&amp;$H$29&amp;"_"&amp;AF$22&amp;$P$22</f>
        <v>156.5C_154.5P</v>
      </c>
      <c r="AG48" s="28" t="str">
        <f>$H46&amp;$H$29&amp;"_"&amp;AG$22&amp;$P$22</f>
        <v>156.5C_155P</v>
      </c>
      <c r="AH48" s="28" t="str">
        <f>$H46&amp;$H$29&amp;"_"&amp;AH$22&amp;$P$22</f>
        <v>156.5C_155.5P</v>
      </c>
      <c r="AI48" s="28" t="str">
        <f>$H46&amp;$H$29&amp;"_"&amp;AI$22&amp;$P$22</f>
        <v>156.5C_156P</v>
      </c>
      <c r="AJ48" s="28" t="str">
        <f>$H46&amp;$H$29&amp;"_"&amp;AJ$22&amp;$P$22</f>
        <v>156.5C_156.5P</v>
      </c>
      <c r="AK48" s="28" t="str">
        <f>$H46&amp;$H$29&amp;"_"&amp;AK$22&amp;$P$22</f>
        <v>156.5C_157P</v>
      </c>
      <c r="AL48" s="28" t="str">
        <f>$H46&amp;$H$29&amp;"_"&amp;AL$22&amp;$P$22</f>
        <v>156.5C_157.5P</v>
      </c>
    </row>
    <row r="49" spans="1:38" s="4" customFormat="1" ht="12.75" thickTop="1">
      <c r="A49" s="19"/>
      <c r="B49" s="3"/>
      <c r="C49" s="3"/>
      <c r="D49" s="20"/>
      <c r="E49" s="20"/>
      <c r="F49" s="20"/>
      <c r="G49" s="20"/>
      <c r="J49" s="35"/>
      <c r="K49" s="35">
        <f t="shared" si="17"/>
        <v>0</v>
      </c>
      <c r="L49" s="57"/>
      <c r="M49" s="39"/>
      <c r="N49" s="48"/>
      <c r="O49" s="43"/>
      <c r="P49" s="53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</row>
    <row r="50" spans="1:38">
      <c r="A50" s="16">
        <f>_xll.BDP($I50, A$29)/-1</f>
        <v>-4.9792999999999997E-2</v>
      </c>
      <c r="B50" s="12">
        <f>_xll.BDP($I50, B$29)/100</f>
        <v>9.3806910000000007E-2</v>
      </c>
      <c r="C50" s="6">
        <f ca="1">B50*(MIN(SQRT(1/365),(SQRT(($B$24/365)))))</f>
        <v>4.9100780798267147E-3</v>
      </c>
      <c r="D50" s="11">
        <f>(H50-$B$14)/100</f>
        <v>2.4300000000002056E-2</v>
      </c>
      <c r="E50" s="11">
        <f t="shared" ca="1" si="19"/>
        <v>3.3414606783412095</v>
      </c>
      <c r="F50" s="11">
        <f t="shared" ca="1" si="20"/>
        <v>4.1669410080247271E-4</v>
      </c>
      <c r="G50" s="11">
        <f>IF(D50&gt;0,0,0.25*$B$26)</f>
        <v>0</v>
      </c>
      <c r="H50" s="4">
        <v>156.0000000000002</v>
      </c>
      <c r="I50" t="str">
        <f>($I$29&amp;" "&amp;H50&amp;" COMB Curncy")</f>
        <v>3BV5C 156 COMB Curncy</v>
      </c>
      <c r="J50" s="35">
        <f ca="1">-1*CGBlackScholes("t","c",B$14,H50,$B$24/365,$B$16,$B$15,B50)/100</f>
        <v>2.2247828584557802E-4</v>
      </c>
      <c r="K50" s="35">
        <f t="shared" ca="1" si="17"/>
        <v>0</v>
      </c>
      <c r="L50" s="57">
        <f ca="1">CGBlackScholes("g","c",B$14,H50,$B$24/365,$B$16,$B$15,B50)</f>
        <v>7.826190918304976E-2</v>
      </c>
      <c r="M50" s="39">
        <f ca="1">((M51+M52)/2)/$B$24</f>
        <v>6.9839079928285582E-5</v>
      </c>
      <c r="N50" s="48">
        <f ca="1">(MIN($J50,$M50) - $B$22*$B$23/10000*$F50)*10000</f>
        <v>0.64838750718655902</v>
      </c>
      <c r="O50" s="43" t="str">
        <f>ROUND((($M52*10000)+$B$23),0)&amp;" ticks"</f>
        <v>16 ticks</v>
      </c>
      <c r="P50" s="54">
        <f>SUM(Q49:AL49)</f>
        <v>0</v>
      </c>
      <c r="Q50" s="33" t="e">
        <f t="shared" ref="Q50:AL50" ca="1" si="27">(MIN(($J50+Q$24),($M50+Q$29))- $B$26 - (($B$22*$B$26)*MAX($F50,Q$20))-($G50+Q$21))* 10000</f>
        <v>#VALUE!</v>
      </c>
      <c r="R50" s="33" t="e">
        <f t="shared" ca="1" si="27"/>
        <v>#VALUE!</v>
      </c>
      <c r="S50" s="33" t="e">
        <f t="shared" ca="1" si="27"/>
        <v>#VALUE!</v>
      </c>
      <c r="T50" s="33" t="e">
        <f t="shared" ca="1" si="27"/>
        <v>#VALUE!</v>
      </c>
      <c r="U50" s="33" t="e">
        <f t="shared" ca="1" si="27"/>
        <v>#VALUE!</v>
      </c>
      <c r="V50" s="33" t="e">
        <f t="shared" ca="1" si="27"/>
        <v>#VALUE!</v>
      </c>
      <c r="W50" s="33" t="e">
        <f t="shared" ca="1" si="27"/>
        <v>#VALUE!</v>
      </c>
      <c r="X50" s="33" t="e">
        <f t="shared" ca="1" si="27"/>
        <v>#VALUE!</v>
      </c>
      <c r="Y50" s="33">
        <f t="shared" ca="1" si="27"/>
        <v>-1.641219144704632</v>
      </c>
      <c r="Z50" s="33">
        <f t="shared" ca="1" si="27"/>
        <v>-1.2257399033531364</v>
      </c>
      <c r="AA50" s="33">
        <f t="shared" ca="1" si="27"/>
        <v>-0.89662674387541996</v>
      </c>
      <c r="AB50" s="33">
        <f t="shared" ca="1" si="27"/>
        <v>-0.69185073366053751</v>
      </c>
      <c r="AC50" s="33">
        <f t="shared" ca="1" si="27"/>
        <v>-1.8599238596824375</v>
      </c>
      <c r="AD50" s="33">
        <f t="shared" ca="1" si="27"/>
        <v>-7.2580785978732552</v>
      </c>
      <c r="AE50" s="33">
        <f t="shared" ca="1" si="27"/>
        <v>-2.9704136804860823</v>
      </c>
      <c r="AF50" s="33">
        <f t="shared" ca="1" si="27"/>
        <v>-1.5265431470331736</v>
      </c>
      <c r="AG50" s="33">
        <f t="shared" ca="1" si="27"/>
        <v>-1.0371861385980747</v>
      </c>
      <c r="AH50" s="33">
        <f t="shared" ca="1" si="27"/>
        <v>-1.6243126424420133</v>
      </c>
      <c r="AI50" s="33">
        <f t="shared" ca="1" si="27"/>
        <v>-2.1068130108979921</v>
      </c>
      <c r="AJ50" s="33">
        <f t="shared" ca="1" si="27"/>
        <v>-2.3396099439929423</v>
      </c>
      <c r="AK50" s="33">
        <f t="shared" ca="1" si="27"/>
        <v>-2.5724068770872259</v>
      </c>
      <c r="AL50" s="33">
        <f t="shared" ca="1" si="27"/>
        <v>-2.6888053436343724</v>
      </c>
    </row>
    <row r="51" spans="1:38" s="23" customFormat="1">
      <c r="H51" s="22"/>
      <c r="J51" s="36"/>
      <c r="K51" s="35">
        <f t="shared" si="17"/>
        <v>0</v>
      </c>
      <c r="L51" s="59" t="s">
        <v>60</v>
      </c>
      <c r="M51" s="39">
        <f>IF(D50&gt;0,_xll.BDP(I50,"BID")/100,(_xll.BDP(I50,"BID")/100)+D50)</f>
        <v>2.0000000000000001E-4</v>
      </c>
      <c r="N51" s="48"/>
      <c r="O51" s="43"/>
      <c r="P51" s="53"/>
      <c r="Q51" s="34">
        <f>Q$15+$A50</f>
        <v>-3.9772999999999996E-2</v>
      </c>
      <c r="R51" s="34">
        <f t="shared" ref="R51:AL51" si="28">R$15+$A50</f>
        <v>-3.9101999999999998E-2</v>
      </c>
      <c r="S51" s="34">
        <f t="shared" si="28"/>
        <v>-3.8311999999999999E-2</v>
      </c>
      <c r="T51" s="34">
        <f t="shared" si="28"/>
        <v>-3.7474999999999994E-2</v>
      </c>
      <c r="U51" s="34">
        <f t="shared" si="28"/>
        <v>-3.6572999999999994E-2</v>
      </c>
      <c r="V51" s="34">
        <f t="shared" si="28"/>
        <v>-3.5339999999999996E-2</v>
      </c>
      <c r="W51" s="34">
        <f t="shared" si="28"/>
        <v>-2.2827999999999998E-2</v>
      </c>
      <c r="X51" s="34">
        <f t="shared" si="28"/>
        <v>-1.9838999999999996E-2</v>
      </c>
      <c r="Y51" s="34">
        <f t="shared" si="28"/>
        <v>-2.9437999999999995E-2</v>
      </c>
      <c r="Z51" s="34">
        <f t="shared" si="28"/>
        <v>1.5530999999999996E-2</v>
      </c>
      <c r="AA51" s="34">
        <f t="shared" si="28"/>
        <v>6.259300000000001E-2</v>
      </c>
      <c r="AB51" s="34">
        <f t="shared" si="28"/>
        <v>0.15373799999999999</v>
      </c>
      <c r="AC51" s="34">
        <f t="shared" si="28"/>
        <v>0.27655200000000002</v>
      </c>
      <c r="AD51" s="34">
        <f t="shared" si="28"/>
        <v>0.429286</v>
      </c>
      <c r="AE51" s="34">
        <f t="shared" si="28"/>
        <v>0.57665200000000005</v>
      </c>
      <c r="AF51" s="34">
        <f t="shared" si="28"/>
        <v>0.708372</v>
      </c>
      <c r="AG51" s="34">
        <f t="shared" si="28"/>
        <v>0.80926600000000004</v>
      </c>
      <c r="AH51" s="34">
        <f t="shared" si="28"/>
        <v>0.85450800000000005</v>
      </c>
      <c r="AI51" s="34">
        <f t="shared" si="28"/>
        <v>0.88971200000000006</v>
      </c>
      <c r="AJ51" s="34">
        <f t="shared" si="28"/>
        <v>0.90730100000000002</v>
      </c>
      <c r="AK51" s="34">
        <f t="shared" si="28"/>
        <v>0.92147200000000007</v>
      </c>
      <c r="AL51" s="34">
        <f t="shared" si="28"/>
        <v>0.92916799999999999</v>
      </c>
    </row>
    <row r="52" spans="1:38" s="4" customFormat="1" ht="12.75" thickBot="1">
      <c r="A52" s="19"/>
      <c r="B52" s="3"/>
      <c r="C52" s="3"/>
      <c r="D52" s="20"/>
      <c r="E52" s="20"/>
      <c r="F52" s="20"/>
      <c r="G52" s="20"/>
      <c r="J52" s="35"/>
      <c r="K52" s="35">
        <f t="shared" si="17"/>
        <v>0</v>
      </c>
      <c r="L52" s="59" t="s">
        <v>61</v>
      </c>
      <c r="M52" s="39">
        <f>IF(D50&gt;0,_xll.BDP(I50,"ASK")/100,(_xll.BDP(I50,"ASK")/100)+D50)</f>
        <v>4.0000000000000002E-4</v>
      </c>
      <c r="N52" s="50"/>
      <c r="O52" s="43"/>
      <c r="P52" s="53"/>
      <c r="Q52" s="28" t="str">
        <f>$H50&amp;$H$29&amp;"_"&amp;Q$22&amp;$P$22</f>
        <v>156C_147P</v>
      </c>
      <c r="R52" s="28" t="str">
        <f>$H50&amp;$H$29&amp;"_"&amp;R$22&amp;$P$22</f>
        <v>156C_147.5P</v>
      </c>
      <c r="S52" s="28" t="str">
        <f>$H50&amp;$H$29&amp;"_"&amp;S$22&amp;$P$22</f>
        <v>156C_148P</v>
      </c>
      <c r="T52" s="28" t="str">
        <f>$H50&amp;$H$29&amp;"_"&amp;T$22&amp;$P$22</f>
        <v>156C_148.5P</v>
      </c>
      <c r="U52" s="28" t="str">
        <f>$H50&amp;$H$29&amp;"_"&amp;U$22&amp;$P$22</f>
        <v>156C_149P</v>
      </c>
      <c r="V52" s="28" t="str">
        <f>$H50&amp;$H$29&amp;"_"&amp;V$22&amp;$P$22</f>
        <v>156C_149.5P</v>
      </c>
      <c r="W52" s="28" t="str">
        <f>$H50&amp;$H$29&amp;"_"&amp;W$22&amp;$P$22</f>
        <v>156C_150P</v>
      </c>
      <c r="X52" s="28" t="str">
        <f>$H50&amp;$H$29&amp;"_"&amp;X$22&amp;$P$22</f>
        <v>156C_150.5P</v>
      </c>
      <c r="Y52" s="28" t="str">
        <f>$H50&amp;$H$29&amp;"_"&amp;Y$22&amp;$P$22</f>
        <v>156C_151P</v>
      </c>
      <c r="Z52" s="28" t="str">
        <f>$H50&amp;$H$29&amp;"_"&amp;Z$22&amp;$P$22</f>
        <v>156C_151.5P</v>
      </c>
      <c r="AA52" s="28" t="str">
        <f>$H50&amp;$H$29&amp;"_"&amp;AA$22&amp;$P$22</f>
        <v>156C_152P</v>
      </c>
      <c r="AB52" s="28" t="str">
        <f>$H50&amp;$H$29&amp;"_"&amp;AB$22&amp;$P$22</f>
        <v>156C_152.5P</v>
      </c>
      <c r="AC52" s="28" t="str">
        <f>$H50&amp;$H$29&amp;"_"&amp;AC$22&amp;$P$22</f>
        <v>156C_153P</v>
      </c>
      <c r="AD52" s="28" t="str">
        <f>$H50&amp;$H$29&amp;"_"&amp;AD$22&amp;$P$22</f>
        <v>156C_153.5P</v>
      </c>
      <c r="AE52" s="28" t="str">
        <f>$H50&amp;$H$29&amp;"_"&amp;AE$22&amp;$P$22</f>
        <v>156C_154P</v>
      </c>
      <c r="AF52" s="28" t="str">
        <f>$H50&amp;$H$29&amp;"_"&amp;AF$22&amp;$P$22</f>
        <v>156C_154.5P</v>
      </c>
      <c r="AG52" s="28" t="str">
        <f>$H50&amp;$H$29&amp;"_"&amp;AG$22&amp;$P$22</f>
        <v>156C_155P</v>
      </c>
      <c r="AH52" s="28" t="str">
        <f>$H50&amp;$H$29&amp;"_"&amp;AH$22&amp;$P$22</f>
        <v>156C_155.5P</v>
      </c>
      <c r="AI52" s="28" t="str">
        <f>$H50&amp;$H$29&amp;"_"&amp;AI$22&amp;$P$22</f>
        <v>156C_156P</v>
      </c>
      <c r="AJ52" s="28" t="str">
        <f>$H50&amp;$H$29&amp;"_"&amp;AJ$22&amp;$P$22</f>
        <v>156C_156.5P</v>
      </c>
      <c r="AK52" s="28" t="str">
        <f>$H50&amp;$H$29&amp;"_"&amp;AK$22&amp;$P$22</f>
        <v>156C_157P</v>
      </c>
      <c r="AL52" s="28" t="str">
        <f>$H50&amp;$H$29&amp;"_"&amp;AL$22&amp;$P$22</f>
        <v>156C_157.5P</v>
      </c>
    </row>
    <row r="53" spans="1:38" s="4" customFormat="1" ht="12.75" thickTop="1">
      <c r="A53" s="19"/>
      <c r="B53" s="3"/>
      <c r="C53" s="3"/>
      <c r="D53" s="20"/>
      <c r="E53" s="20"/>
      <c r="F53" s="20"/>
      <c r="G53" s="20"/>
      <c r="J53" s="35"/>
      <c r="K53" s="35">
        <f t="shared" si="17"/>
        <v>0</v>
      </c>
      <c r="L53" s="57"/>
      <c r="M53" s="39"/>
      <c r="N53" s="48"/>
      <c r="O53" s="43"/>
      <c r="P53" s="53"/>
      <c r="Q53" s="32"/>
      <c r="R53" s="32"/>
      <c r="S53" s="32"/>
      <c r="T53" s="32"/>
      <c r="U53" s="32"/>
      <c r="V53" s="32"/>
      <c r="W53" s="32"/>
      <c r="X53" s="32"/>
      <c r="Y53" s="25"/>
      <c r="Z53" s="25"/>
      <c r="AA53" s="25"/>
      <c r="AB53" s="25"/>
      <c r="AC53" s="25"/>
      <c r="AD53" s="25"/>
      <c r="AE53" s="25"/>
      <c r="AF53" s="32"/>
      <c r="AG53" s="32"/>
      <c r="AH53" s="32"/>
      <c r="AI53" s="32"/>
      <c r="AJ53" s="32"/>
      <c r="AK53" s="32"/>
      <c r="AL53" s="32"/>
    </row>
    <row r="54" spans="1:38">
      <c r="A54" s="16">
        <f>_xll.BDP($I54, A$29)/-1</f>
        <v>-9.0702000000000005E-2</v>
      </c>
      <c r="B54" s="12">
        <f>_xll.BDP($I54, B$29)/100</f>
        <v>9.276775000000001E-2</v>
      </c>
      <c r="C54" s="6">
        <f ca="1">B54*(MIN(SQRT(1/365),(SQRT(($B$24/365)))))</f>
        <v>4.8556859594868305E-3</v>
      </c>
      <c r="D54" s="11">
        <f>(H54-$B$14)/100</f>
        <v>1.9300000000002059E-2</v>
      </c>
      <c r="E54" s="11">
        <f t="shared" ca="1" si="19"/>
        <v>2.653917328888344</v>
      </c>
      <c r="F54" s="11">
        <f t="shared" ca="1" si="20"/>
        <v>3.9781658578006418E-3</v>
      </c>
      <c r="G54" s="11">
        <f>IF(D54&gt;0,0,0.25*$B$26)</f>
        <v>0</v>
      </c>
      <c r="H54" s="4">
        <v>155.5000000000002</v>
      </c>
      <c r="I54" t="str">
        <f>($I$29&amp;" "&amp;H54&amp;" COMB Curncy")</f>
        <v>3BV5C 155.5 COMB Curncy</v>
      </c>
      <c r="J54" s="35">
        <f ca="1">-1*CGBlackScholes("t","c",B$14,H54,$B$24/365,$B$16,$B$15,B54)/100</f>
        <v>3.3429091821134252E-4</v>
      </c>
      <c r="K54" s="35">
        <f t="shared" ca="1" si="17"/>
        <v>0</v>
      </c>
      <c r="L54" s="57">
        <f ca="1">CGBlackScholes("g","c",B$14,H54,$B$24/365,$B$16,$B$15,B54)</f>
        <v>0.12024558799326514</v>
      </c>
      <c r="M54" s="39">
        <f ca="1">((M55+M56)/2)/$B$24</f>
        <v>1.3967815985657116E-4</v>
      </c>
      <c r="N54" s="48">
        <f ca="1">(MIN($J54,$M54) - $B$22*$B$23/10000*$F54)*10000</f>
        <v>0.91940169562963459</v>
      </c>
      <c r="O54" s="43" t="str">
        <f>ROUND((($M56*10000)+$B$23),0)&amp;" ticks"</f>
        <v>19 ticks</v>
      </c>
      <c r="P54" s="54">
        <f>SUM(Q53:AL53)</f>
        <v>0</v>
      </c>
      <c r="Q54" s="33" t="e">
        <f t="shared" ref="Q54:AL54" ca="1" si="29">(MIN(($J54+Q$24),($M54+Q$29))- $B$26 - (($B$22*$B$26)*MAX($F54,Q$20))-($G54+Q$21))* 10000</f>
        <v>#VALUE!</v>
      </c>
      <c r="R54" s="33" t="e">
        <f t="shared" ca="1" si="29"/>
        <v>#VALUE!</v>
      </c>
      <c r="S54" s="33" t="e">
        <f t="shared" ca="1" si="29"/>
        <v>#VALUE!</v>
      </c>
      <c r="T54" s="33" t="e">
        <f t="shared" ca="1" si="29"/>
        <v>#VALUE!</v>
      </c>
      <c r="U54" s="33" t="e">
        <f t="shared" ca="1" si="29"/>
        <v>#VALUE!</v>
      </c>
      <c r="V54" s="33" t="e">
        <f t="shared" ca="1" si="29"/>
        <v>#VALUE!</v>
      </c>
      <c r="W54" s="33" t="e">
        <f t="shared" ca="1" si="29"/>
        <v>#VALUE!</v>
      </c>
      <c r="X54" s="33" t="e">
        <f t="shared" ca="1" si="29"/>
        <v>#VALUE!</v>
      </c>
      <c r="Y54" s="26">
        <f t="shared" ca="1" si="29"/>
        <v>-1.042320309701507</v>
      </c>
      <c r="Z54" s="26">
        <f t="shared" ca="1" si="29"/>
        <v>-0.57672644351293645</v>
      </c>
      <c r="AA54" s="26">
        <f t="shared" ca="1" si="29"/>
        <v>-0.198235944592564</v>
      </c>
      <c r="AB54" s="26">
        <f t="shared" ca="1" si="29"/>
        <v>6.5400656223179379E-3</v>
      </c>
      <c r="AC54" s="26">
        <f t="shared" ca="1" si="29"/>
        <v>-1.1615330603995815</v>
      </c>
      <c r="AD54" s="26">
        <f t="shared" ca="1" si="29"/>
        <v>-6.1399522742156103</v>
      </c>
      <c r="AE54" s="26">
        <f t="shared" ca="1" si="29"/>
        <v>-2.2720228812032262</v>
      </c>
      <c r="AF54" s="33">
        <f t="shared" ca="1" si="29"/>
        <v>-0.82815234775031776</v>
      </c>
      <c r="AG54" s="33">
        <f t="shared" ca="1" si="29"/>
        <v>-0.33879533931521927</v>
      </c>
      <c r="AH54" s="33">
        <f t="shared" ca="1" si="29"/>
        <v>-0.92592184315915771</v>
      </c>
      <c r="AI54" s="33">
        <f t="shared" ca="1" si="29"/>
        <v>-1.5079141758948671</v>
      </c>
      <c r="AJ54" s="33">
        <f t="shared" ca="1" si="29"/>
        <v>-1.7407111089898171</v>
      </c>
      <c r="AK54" s="33">
        <f t="shared" ca="1" si="29"/>
        <v>-1.9735080420841011</v>
      </c>
      <c r="AL54" s="33">
        <f t="shared" ca="1" si="29"/>
        <v>-2.0899065086312469</v>
      </c>
    </row>
    <row r="55" spans="1:38" s="23" customFormat="1">
      <c r="H55" s="22"/>
      <c r="J55" s="36"/>
      <c r="K55" s="35">
        <f t="shared" si="17"/>
        <v>0</v>
      </c>
      <c r="L55" s="59" t="s">
        <v>60</v>
      </c>
      <c r="M55" s="39">
        <f>IF(D54&gt;0,_xll.BDP(I54,"BID")/100,(_xll.BDP(I54,"BID")/100)+D54)</f>
        <v>5.0000000000000001E-4</v>
      </c>
      <c r="N55" s="48"/>
      <c r="O55" s="43"/>
      <c r="P55" s="53"/>
      <c r="Q55" s="34">
        <f>Q$15+$A54</f>
        <v>-8.0682000000000004E-2</v>
      </c>
      <c r="R55" s="34">
        <f t="shared" ref="R55:AL55" si="30">R$15+$A54</f>
        <v>-8.0010999999999999E-2</v>
      </c>
      <c r="S55" s="34">
        <f t="shared" si="30"/>
        <v>-7.9221E-2</v>
      </c>
      <c r="T55" s="34">
        <f t="shared" si="30"/>
        <v>-7.8384000000000009E-2</v>
      </c>
      <c r="U55" s="34">
        <f t="shared" si="30"/>
        <v>-7.7482000000000009E-2</v>
      </c>
      <c r="V55" s="34">
        <f t="shared" si="30"/>
        <v>-7.6249000000000011E-2</v>
      </c>
      <c r="W55" s="34">
        <f t="shared" si="30"/>
        <v>-6.3737000000000002E-2</v>
      </c>
      <c r="X55" s="34">
        <f t="shared" si="30"/>
        <v>-6.0748000000000003E-2</v>
      </c>
      <c r="Y55" s="27">
        <f t="shared" si="30"/>
        <v>-7.0347000000000007E-2</v>
      </c>
      <c r="Z55" s="27">
        <f t="shared" si="30"/>
        <v>-2.5378000000000012E-2</v>
      </c>
      <c r="AA55" s="27">
        <f t="shared" si="30"/>
        <v>2.1683999999999995E-2</v>
      </c>
      <c r="AB55" s="27">
        <f t="shared" si="30"/>
        <v>0.11282899999999998</v>
      </c>
      <c r="AC55" s="27">
        <f t="shared" si="30"/>
        <v>0.23564299999999999</v>
      </c>
      <c r="AD55" s="27">
        <f t="shared" si="30"/>
        <v>0.38837699999999997</v>
      </c>
      <c r="AE55" s="27">
        <f t="shared" si="30"/>
        <v>0.53574300000000008</v>
      </c>
      <c r="AF55" s="34">
        <f t="shared" si="30"/>
        <v>0.66746299999999992</v>
      </c>
      <c r="AG55" s="34">
        <f t="shared" si="30"/>
        <v>0.76835699999999996</v>
      </c>
      <c r="AH55" s="34">
        <f t="shared" si="30"/>
        <v>0.81359899999999996</v>
      </c>
      <c r="AI55" s="34">
        <f t="shared" si="30"/>
        <v>0.84880299999999997</v>
      </c>
      <c r="AJ55" s="34">
        <f t="shared" si="30"/>
        <v>0.86639200000000005</v>
      </c>
      <c r="AK55" s="34">
        <f t="shared" si="30"/>
        <v>0.88056299999999998</v>
      </c>
      <c r="AL55" s="34">
        <f t="shared" si="30"/>
        <v>0.88825899999999991</v>
      </c>
    </row>
    <row r="56" spans="1:38" s="4" customFormat="1" ht="12.75" thickBot="1">
      <c r="A56" s="19"/>
      <c r="B56" s="3"/>
      <c r="C56" s="3"/>
      <c r="D56" s="20"/>
      <c r="E56" s="20"/>
      <c r="F56" s="20"/>
      <c r="G56" s="20"/>
      <c r="J56" s="35"/>
      <c r="K56" s="35">
        <f t="shared" si="17"/>
        <v>0</v>
      </c>
      <c r="L56" s="59" t="s">
        <v>61</v>
      </c>
      <c r="M56" s="39">
        <f>IF(D54&gt;0,_xll.BDP(I54,"ASK")/100,(_xll.BDP(I54,"ASK")/100)+D54)</f>
        <v>7.000000000000001E-4</v>
      </c>
      <c r="N56" s="50"/>
      <c r="O56" s="43"/>
      <c r="P56" s="53"/>
      <c r="Q56" s="28" t="str">
        <f>$H54&amp;$H$29&amp;"_"&amp;Q$22&amp;$P$22</f>
        <v>155.5C_147P</v>
      </c>
      <c r="R56" s="28" t="str">
        <f>$H54&amp;$H$29&amp;"_"&amp;R$22&amp;$P$22</f>
        <v>155.5C_147.5P</v>
      </c>
      <c r="S56" s="28" t="str">
        <f>$H54&amp;$H$29&amp;"_"&amp;S$22&amp;$P$22</f>
        <v>155.5C_148P</v>
      </c>
      <c r="T56" s="28" t="str">
        <f>$H54&amp;$H$29&amp;"_"&amp;T$22&amp;$P$22</f>
        <v>155.5C_148.5P</v>
      </c>
      <c r="U56" s="28" t="str">
        <f>$H54&amp;$H$29&amp;"_"&amp;U$22&amp;$P$22</f>
        <v>155.5C_149P</v>
      </c>
      <c r="V56" s="28" t="str">
        <f>$H54&amp;$H$29&amp;"_"&amp;V$22&amp;$P$22</f>
        <v>155.5C_149.5P</v>
      </c>
      <c r="W56" s="28" t="str">
        <f>$H54&amp;$H$29&amp;"_"&amp;W$22&amp;$P$22</f>
        <v>155.5C_150P</v>
      </c>
      <c r="X56" s="28" t="str">
        <f>$H54&amp;$H$29&amp;"_"&amp;X$22&amp;$P$22</f>
        <v>155.5C_150.5P</v>
      </c>
      <c r="Y56" s="28" t="str">
        <f>$H54&amp;$H$29&amp;"_"&amp;Y$22&amp;$P$22</f>
        <v>155.5C_151P</v>
      </c>
      <c r="Z56" s="28" t="str">
        <f>$H54&amp;$H$29&amp;"_"&amp;Z$22&amp;$P$22</f>
        <v>155.5C_151.5P</v>
      </c>
      <c r="AA56" s="28" t="str">
        <f>$H54&amp;$H$29&amp;"_"&amp;AA$22&amp;$P$22</f>
        <v>155.5C_152P</v>
      </c>
      <c r="AB56" s="28" t="str">
        <f>$H54&amp;$H$29&amp;"_"&amp;AB$22&amp;$P$22</f>
        <v>155.5C_152.5P</v>
      </c>
      <c r="AC56" s="28" t="str">
        <f>$H54&amp;$H$29&amp;"_"&amp;AC$22&amp;$P$22</f>
        <v>155.5C_153P</v>
      </c>
      <c r="AD56" s="28" t="str">
        <f>$H54&amp;$H$29&amp;"_"&amp;AD$22&amp;$P$22</f>
        <v>155.5C_153.5P</v>
      </c>
      <c r="AE56" s="28" t="str">
        <f>$H54&amp;$H$29&amp;"_"&amp;AE$22&amp;$P$22</f>
        <v>155.5C_154P</v>
      </c>
      <c r="AF56" s="28" t="str">
        <f>$H54&amp;$H$29&amp;"_"&amp;AF$22&amp;$P$22</f>
        <v>155.5C_154.5P</v>
      </c>
      <c r="AG56" s="28" t="str">
        <f>$H54&amp;$H$29&amp;"_"&amp;AG$22&amp;$P$22</f>
        <v>155.5C_155P</v>
      </c>
      <c r="AH56" s="28" t="str">
        <f>$H54&amp;$H$29&amp;"_"&amp;AH$22&amp;$P$22</f>
        <v>155.5C_155.5P</v>
      </c>
      <c r="AI56" s="28" t="str">
        <f>$H54&amp;$H$29&amp;"_"&amp;AI$22&amp;$P$22</f>
        <v>155.5C_156P</v>
      </c>
      <c r="AJ56" s="28" t="str">
        <f>$H54&amp;$H$29&amp;"_"&amp;AJ$22&amp;$P$22</f>
        <v>155.5C_156.5P</v>
      </c>
      <c r="AK56" s="28" t="str">
        <f>$H54&amp;$H$29&amp;"_"&amp;AK$22&amp;$P$22</f>
        <v>155.5C_157P</v>
      </c>
      <c r="AL56" s="28" t="str">
        <f>$H54&amp;$H$29&amp;"_"&amp;AL$22&amp;$P$22</f>
        <v>155.5C_157.5P</v>
      </c>
    </row>
    <row r="57" spans="1:38" s="4" customFormat="1" ht="12.75" thickTop="1">
      <c r="A57" s="19"/>
      <c r="B57" s="3"/>
      <c r="C57" s="3"/>
      <c r="D57" s="20"/>
      <c r="E57" s="20"/>
      <c r="F57" s="20"/>
      <c r="G57" s="20"/>
      <c r="J57" s="35"/>
      <c r="K57" s="35">
        <f t="shared" si="17"/>
        <v>0</v>
      </c>
      <c r="L57" s="57"/>
      <c r="M57" s="39"/>
      <c r="N57" s="48"/>
      <c r="O57" s="43"/>
      <c r="P57" s="53"/>
      <c r="Q57" s="32"/>
      <c r="R57" s="32"/>
      <c r="S57" s="32"/>
      <c r="T57" s="32"/>
      <c r="U57" s="32"/>
      <c r="V57" s="32"/>
      <c r="W57" s="32"/>
      <c r="X57" s="32"/>
      <c r="Y57" s="25"/>
      <c r="Z57" s="25"/>
      <c r="AA57" s="25"/>
      <c r="AB57" s="25"/>
      <c r="AC57" s="25"/>
      <c r="AD57" s="25"/>
      <c r="AE57" s="25"/>
      <c r="AF57" s="32"/>
      <c r="AG57" s="32"/>
      <c r="AH57" s="32"/>
      <c r="AI57" s="32"/>
      <c r="AJ57" s="32"/>
      <c r="AK57" s="32"/>
      <c r="AL57" s="32"/>
    </row>
    <row r="58" spans="1:38">
      <c r="A58" s="16">
        <f>_xll.BDP($I58, A$29)/-1</f>
        <v>-0.143846</v>
      </c>
      <c r="B58" s="12">
        <f>_xll.BDP($I58, B$29)/100</f>
        <v>8.832537E-2</v>
      </c>
      <c r="C58" s="6">
        <f ca="1">B58*(MIN(SQRT(1/365),(SQRT(($B$24/365)))))</f>
        <v>4.6231611629631983E-3</v>
      </c>
      <c r="D58" s="11">
        <f>(H58-$B$14)/100</f>
        <v>1.4300000000001773E-2</v>
      </c>
      <c r="E58" s="11">
        <f t="shared" ca="1" si="19"/>
        <v>1.9663739794354393</v>
      </c>
      <c r="F58" s="11">
        <f t="shared" ca="1" si="20"/>
        <v>2.462771343991732E-2</v>
      </c>
      <c r="G58" s="11">
        <f>IF(D58&gt;0,0,0.25*$B$26)</f>
        <v>0</v>
      </c>
      <c r="H58" s="4">
        <v>155.00000000000017</v>
      </c>
      <c r="I58" t="str">
        <f>($I$29&amp;" "&amp;H58&amp;" COMB Curncy")</f>
        <v>3BV5C 155 COMB Curncy</v>
      </c>
      <c r="J58" s="35">
        <f ca="1">-1*CGBlackScholes("t","c",B$14,H58,$B$24/365,$B$16,$B$15,B58)/100</f>
        <v>4.2988551434407988E-4</v>
      </c>
      <c r="K58" s="35">
        <f t="shared" ca="1" si="17"/>
        <v>0</v>
      </c>
      <c r="L58" s="57">
        <f ca="1">CGBlackScholes("g","c",B$14,H58,$B$24/365,$B$16,$B$15,B58)</f>
        <v>0.17058004794816131</v>
      </c>
      <c r="M58" s="39">
        <f ca="1">((M59+M60)/2)/$B$24</f>
        <v>2.3279693309428525E-4</v>
      </c>
      <c r="N58" s="48">
        <f ca="1">(MIN($J58,$M58) - $B$22*$B$23/10000*$F58)*10000</f>
        <v>-0.62735628184722603</v>
      </c>
      <c r="O58" s="43" t="str">
        <f>ROUND((($M60*10000)+$B$23),0)&amp;" ticks"</f>
        <v>23 ticks</v>
      </c>
      <c r="P58" s="54">
        <f>SUM(Q57:AL57)</f>
        <v>0</v>
      </c>
      <c r="Q58" s="33" t="e">
        <f t="shared" ref="Q58:AL58" ca="1" si="31">(MIN(($J58+Q$24),($M58+Q$29))- $B$26 - (($B$22*$B$26)*MAX($F58,Q$20))-($G58+Q$21))* 10000</f>
        <v>#VALUE!</v>
      </c>
      <c r="R58" s="33" t="e">
        <f t="shared" ca="1" si="31"/>
        <v>#VALUE!</v>
      </c>
      <c r="S58" s="33" t="e">
        <f t="shared" ca="1" si="31"/>
        <v>#VALUE!</v>
      </c>
      <c r="T58" s="33" t="e">
        <f t="shared" ca="1" si="31"/>
        <v>#VALUE!</v>
      </c>
      <c r="U58" s="33" t="e">
        <f t="shared" ca="1" si="31"/>
        <v>#VALUE!</v>
      </c>
      <c r="V58" s="33" t="e">
        <f t="shared" ca="1" si="31"/>
        <v>#VALUE!</v>
      </c>
      <c r="W58" s="33" t="e">
        <f t="shared" ca="1" si="31"/>
        <v>#VALUE!</v>
      </c>
      <c r="X58" s="33" t="e">
        <f t="shared" ca="1" si="31"/>
        <v>#VALUE!</v>
      </c>
      <c r="Y58" s="26">
        <f t="shared" ca="1" si="31"/>
        <v>-0.68799073895251939</v>
      </c>
      <c r="Z58" s="26">
        <f t="shared" ca="1" si="31"/>
        <v>-0.2223968727639484</v>
      </c>
      <c r="AA58" s="26">
        <f t="shared" ca="1" si="31"/>
        <v>0.47599392651890698</v>
      </c>
      <c r="AB58" s="26">
        <f t="shared" ca="1" si="31"/>
        <v>0.93772779799945882</v>
      </c>
      <c r="AC58" s="26">
        <f t="shared" ca="1" si="31"/>
        <v>-0.23034532802244068</v>
      </c>
      <c r="AD58" s="26">
        <f t="shared" ca="1" si="31"/>
        <v>-5.1840063128882363</v>
      </c>
      <c r="AE58" s="26">
        <f t="shared" ca="1" si="31"/>
        <v>-1.3408351488260866</v>
      </c>
      <c r="AF58" s="33">
        <f t="shared" ca="1" si="31"/>
        <v>0.1030353846268232</v>
      </c>
      <c r="AG58" s="33">
        <f t="shared" ca="1" si="31"/>
        <v>0.59239239306192182</v>
      </c>
      <c r="AH58" s="33">
        <f t="shared" ca="1" si="31"/>
        <v>-0.57159227241016997</v>
      </c>
      <c r="AI58" s="33">
        <f t="shared" ca="1" si="31"/>
        <v>-1.1535846051458791</v>
      </c>
      <c r="AJ58" s="33">
        <f t="shared" ca="1" si="31"/>
        <v>-1.3863815382408298</v>
      </c>
      <c r="AK58" s="33">
        <f t="shared" ca="1" si="31"/>
        <v>-1.6191784713351132</v>
      </c>
      <c r="AL58" s="33">
        <f t="shared" ca="1" si="31"/>
        <v>-1.7355769378822594</v>
      </c>
    </row>
    <row r="59" spans="1:38" s="23" customFormat="1">
      <c r="H59" s="22"/>
      <c r="J59" s="36"/>
      <c r="K59" s="35">
        <f t="shared" si="17"/>
        <v>0</v>
      </c>
      <c r="L59" s="59" t="s">
        <v>60</v>
      </c>
      <c r="M59" s="39">
        <f>IF(D58&gt;0,_xll.BDP(I58,"BID")/100,(_xll.BDP(I58,"BID")/100)+D58)</f>
        <v>8.9999999999999998E-4</v>
      </c>
      <c r="N59" s="48"/>
      <c r="O59" s="43"/>
      <c r="P59" s="53"/>
      <c r="Q59" s="34">
        <f>Q$15+$A58</f>
        <v>-0.133826</v>
      </c>
      <c r="R59" s="34">
        <f t="shared" ref="R59:AL59" si="32">R$15+$A58</f>
        <v>-0.133155</v>
      </c>
      <c r="S59" s="34">
        <f t="shared" si="32"/>
        <v>-0.13236500000000001</v>
      </c>
      <c r="T59" s="34">
        <f t="shared" si="32"/>
        <v>-0.13152800000000001</v>
      </c>
      <c r="U59" s="34">
        <f t="shared" si="32"/>
        <v>-0.13062599999999999</v>
      </c>
      <c r="V59" s="34">
        <f t="shared" si="32"/>
        <v>-0.12939300000000001</v>
      </c>
      <c r="W59" s="34">
        <f t="shared" si="32"/>
        <v>-0.116881</v>
      </c>
      <c r="X59" s="34">
        <f t="shared" si="32"/>
        <v>-0.11389199999999999</v>
      </c>
      <c r="Y59" s="27">
        <f t="shared" si="32"/>
        <v>-0.123491</v>
      </c>
      <c r="Z59" s="27">
        <f t="shared" si="32"/>
        <v>-7.8522000000000008E-2</v>
      </c>
      <c r="AA59" s="27">
        <f t="shared" si="32"/>
        <v>-3.1460000000000002E-2</v>
      </c>
      <c r="AB59" s="27">
        <f t="shared" si="32"/>
        <v>5.9684999999999988E-2</v>
      </c>
      <c r="AC59" s="27">
        <f t="shared" si="32"/>
        <v>0.18249899999999999</v>
      </c>
      <c r="AD59" s="27">
        <f t="shared" si="32"/>
        <v>0.335233</v>
      </c>
      <c r="AE59" s="27">
        <f t="shared" si="32"/>
        <v>0.482599</v>
      </c>
      <c r="AF59" s="34">
        <f t="shared" si="32"/>
        <v>0.61431899999999995</v>
      </c>
      <c r="AG59" s="34">
        <f t="shared" si="32"/>
        <v>0.71521299999999999</v>
      </c>
      <c r="AH59" s="34">
        <f t="shared" si="32"/>
        <v>0.76045499999999999</v>
      </c>
      <c r="AI59" s="34">
        <f t="shared" si="32"/>
        <v>0.79565900000000001</v>
      </c>
      <c r="AJ59" s="34">
        <f t="shared" si="32"/>
        <v>0.81324799999999997</v>
      </c>
      <c r="AK59" s="34">
        <f t="shared" si="32"/>
        <v>0.82741900000000002</v>
      </c>
      <c r="AL59" s="34">
        <f t="shared" si="32"/>
        <v>0.83511499999999994</v>
      </c>
    </row>
    <row r="60" spans="1:38" s="4" customFormat="1" ht="14.25" customHeight="1" thickBot="1">
      <c r="A60" s="19"/>
      <c r="B60" s="3"/>
      <c r="C60" s="3"/>
      <c r="D60" s="20"/>
      <c r="E60" s="20"/>
      <c r="F60" s="20"/>
      <c r="G60" s="20"/>
      <c r="J60" s="35"/>
      <c r="K60" s="35">
        <f t="shared" si="17"/>
        <v>0</v>
      </c>
      <c r="L60" s="59" t="s">
        <v>61</v>
      </c>
      <c r="M60" s="39">
        <f>IF(D58&gt;0,_xll.BDP(I58,"ASK")/100,(_xll.BDP(I58,"ASK")/100)+D58)</f>
        <v>1.1000000000000001E-3</v>
      </c>
      <c r="N60" s="50"/>
      <c r="O60" s="43"/>
      <c r="P60" s="53"/>
      <c r="Q60" s="28" t="s">
        <v>73</v>
      </c>
      <c r="R60" s="28" t="s">
        <v>74</v>
      </c>
      <c r="S60" s="28" t="s">
        <v>75</v>
      </c>
      <c r="T60" s="28" t="s">
        <v>76</v>
      </c>
      <c r="U60" s="28" t="s">
        <v>77</v>
      </c>
      <c r="V60" s="28" t="s">
        <v>78</v>
      </c>
      <c r="W60" s="28" t="s">
        <v>79</v>
      </c>
      <c r="X60" s="28" t="s">
        <v>80</v>
      </c>
      <c r="Y60" s="28" t="s">
        <v>81</v>
      </c>
      <c r="Z60" s="28" t="s">
        <v>82</v>
      </c>
      <c r="AA60" s="28" t="s">
        <v>83</v>
      </c>
      <c r="AB60" s="28" t="s">
        <v>84</v>
      </c>
      <c r="AC60" s="28" t="s">
        <v>85</v>
      </c>
      <c r="AD60" s="28" t="s">
        <v>86</v>
      </c>
      <c r="AE60" s="28" t="s">
        <v>87</v>
      </c>
      <c r="AF60" s="28" t="s">
        <v>88</v>
      </c>
      <c r="AG60" s="28" t="s">
        <v>89</v>
      </c>
      <c r="AH60" s="28" t="s">
        <v>90</v>
      </c>
      <c r="AI60" s="28" t="s">
        <v>91</v>
      </c>
      <c r="AJ60" s="28" t="s">
        <v>92</v>
      </c>
      <c r="AK60" s="28" t="s">
        <v>93</v>
      </c>
      <c r="AL60" s="28" t="s">
        <v>94</v>
      </c>
    </row>
    <row r="61" spans="1:38" s="4" customFormat="1" ht="21.75" customHeight="1" thickTop="1">
      <c r="A61" s="19"/>
      <c r="B61" s="3"/>
      <c r="C61" s="3"/>
      <c r="D61" s="20"/>
      <c r="E61" s="20"/>
      <c r="F61" s="20"/>
      <c r="G61" s="20"/>
      <c r="J61" s="35"/>
      <c r="K61" s="35">
        <f t="shared" si="17"/>
        <v>0</v>
      </c>
      <c r="L61" s="60"/>
      <c r="M61" s="39"/>
      <c r="N61" s="48"/>
      <c r="O61" s="43"/>
      <c r="P61" s="53"/>
      <c r="Q61" s="32"/>
      <c r="R61" s="32"/>
      <c r="S61" s="32"/>
      <c r="T61" s="32"/>
      <c r="U61" s="32"/>
      <c r="V61" s="32"/>
      <c r="W61" s="32"/>
      <c r="X61" s="32"/>
      <c r="Y61" s="25"/>
      <c r="Z61" s="25"/>
      <c r="AA61" s="25"/>
      <c r="AB61" s="65">
        <v>-2</v>
      </c>
      <c r="AC61" s="25"/>
      <c r="AD61" s="25"/>
      <c r="AE61" s="25"/>
      <c r="AF61" s="32"/>
      <c r="AG61" s="32"/>
      <c r="AH61" s="32"/>
      <c r="AI61" s="32"/>
      <c r="AJ61" s="32"/>
      <c r="AK61" s="32"/>
      <c r="AL61" s="32"/>
    </row>
    <row r="62" spans="1:38">
      <c r="A62" s="16">
        <f>_xll.BDP($I62, A$29)/-1</f>
        <v>-0.241787</v>
      </c>
      <c r="B62" s="12">
        <f>_xll.BDP($I62, B$29)/100</f>
        <v>8.4395190000000009E-2</v>
      </c>
      <c r="C62" s="6">
        <f ca="1">B62*(MIN(SQRT(1/365),(SQRT(($B$24/365)))))</f>
        <v>4.4174461397546378E-3</v>
      </c>
      <c r="D62" s="11">
        <f>(H62-$B$14)/100</f>
        <v>9.3000000000017739E-3</v>
      </c>
      <c r="E62" s="11">
        <f t="shared" ca="1" si="19"/>
        <v>1.2788306299825738</v>
      </c>
      <c r="F62" s="11">
        <f t="shared" ca="1" si="20"/>
        <v>0.10047835259033733</v>
      </c>
      <c r="G62" s="11">
        <f>IF(D62&gt;0,0,0.25*$B$26)</f>
        <v>0</v>
      </c>
      <c r="H62" s="4">
        <v>154.50000000000017</v>
      </c>
      <c r="I62" t="str">
        <f>($I$29&amp;" "&amp;H62&amp;" COMB Curncy")</f>
        <v>3BV5C 154.5 COMB Curncy</v>
      </c>
      <c r="J62" s="35">
        <f ca="1">-1*CGBlackScholes("t","c",B$14,H62,$B$24/365,$B$16,$B$15,B62)/100</f>
        <v>5.2677009837807454E-4</v>
      </c>
      <c r="K62" s="35">
        <f t="shared" ca="1" si="17"/>
        <v>-1.0535401967561491E-3</v>
      </c>
      <c r="L62" s="57">
        <f ca="1">CGBlackScholes("g","c",B$14,H62,$B$24/365,$B$16,$B$15,B62)</f>
        <v>0.22895204574014741</v>
      </c>
      <c r="M62" s="39">
        <f ca="1">((M63+M64)/2)/$B$24</f>
        <v>4.1903447956971341E-4</v>
      </c>
      <c r="N62" s="48">
        <f ca="1">(MIN($J62,$M62) - $B$22*$B$23/10000*$F62)*10000</f>
        <v>-7.8670575151433466</v>
      </c>
      <c r="O62" s="43" t="str">
        <f>ROUND((($M64*10000)+$B$23),0)&amp;" ticks"</f>
        <v>31 ticks</v>
      </c>
      <c r="P62" s="54">
        <f>SUM(Q61:AL61)</f>
        <v>-2</v>
      </c>
      <c r="Q62" s="33" t="e">
        <f t="shared" ref="Q62:AL62" ca="1" si="33">(MIN(($J62+Q$24),($M62+Q$29))- $B$26 - (($B$22*$B$26)*MAX($F62,Q$20))-($G62+Q$21))* 10000</f>
        <v>#VALUE!</v>
      </c>
      <c r="R62" s="33" t="e">
        <f t="shared" ca="1" si="33"/>
        <v>#VALUE!</v>
      </c>
      <c r="S62" s="33" t="e">
        <f t="shared" ca="1" si="33"/>
        <v>#VALUE!</v>
      </c>
      <c r="T62" s="33" t="e">
        <f t="shared" ca="1" si="33"/>
        <v>#VALUE!</v>
      </c>
      <c r="U62" s="33" t="e">
        <f t="shared" ca="1" si="33"/>
        <v>#VALUE!</v>
      </c>
      <c r="V62" s="33" t="e">
        <f t="shared" ca="1" si="33"/>
        <v>#VALUE!</v>
      </c>
      <c r="W62" s="33" t="e">
        <f t="shared" ca="1" si="33"/>
        <v>#VALUE!</v>
      </c>
      <c r="X62" s="33" t="e">
        <f t="shared" ca="1" si="33"/>
        <v>#VALUE!</v>
      </c>
      <c r="Y62" s="26">
        <f t="shared" ca="1" si="33"/>
        <v>-0.94455081429332965</v>
      </c>
      <c r="Z62" s="26">
        <f t="shared" ca="1" si="33"/>
        <v>-0.47895694810475864</v>
      </c>
      <c r="AA62" s="26">
        <f t="shared" ca="1" si="33"/>
        <v>0.21943385117809622</v>
      </c>
      <c r="AB62" s="26">
        <f ca="1">(MIN(($J62+AB$24),($M62+AB$29))- $B$26 - (($B$22*$B$26)*MAX($F62,AB$20))-($G62+AB$21))* 10000</f>
        <v>1.9654108493852356</v>
      </c>
      <c r="AC62" s="26">
        <f t="shared" ca="1" si="33"/>
        <v>1.6320301367318402</v>
      </c>
      <c r="AD62" s="26">
        <f t="shared" ca="1" si="33"/>
        <v>-4.2151604725482885</v>
      </c>
      <c r="AE62" s="26">
        <f t="shared" ca="1" si="33"/>
        <v>0.18204186399037256</v>
      </c>
      <c r="AF62" s="33">
        <f t="shared" ca="1" si="33"/>
        <v>1.9654108493811051</v>
      </c>
      <c r="AG62" s="33">
        <f t="shared" ca="1" si="33"/>
        <v>0.33583231772111138</v>
      </c>
      <c r="AH62" s="33">
        <f t="shared" ca="1" si="33"/>
        <v>-0.82815234775098012</v>
      </c>
      <c r="AI62" s="33">
        <f t="shared" ca="1" si="33"/>
        <v>-1.4101446804866893</v>
      </c>
      <c r="AJ62" s="33">
        <f t="shared" ca="1" si="33"/>
        <v>-1.6429416135816399</v>
      </c>
      <c r="AK62" s="33">
        <f t="shared" ca="1" si="33"/>
        <v>-1.8757385466759238</v>
      </c>
      <c r="AL62" s="33">
        <f t="shared" ca="1" si="33"/>
        <v>-1.9921370132230696</v>
      </c>
    </row>
    <row r="63" spans="1:38" s="23" customFormat="1">
      <c r="H63" s="22"/>
      <c r="J63" s="36"/>
      <c r="K63" s="35">
        <f t="shared" si="17"/>
        <v>0</v>
      </c>
      <c r="L63" s="59" t="s">
        <v>60</v>
      </c>
      <c r="M63" s="39">
        <f>IF(D62&gt;0,_xll.BDP(I62,"BID")/100,(_xll.BDP(I62,"BID")/100)+D62)</f>
        <v>1.7000000000000001E-3</v>
      </c>
      <c r="N63" s="48"/>
      <c r="O63" s="43"/>
      <c r="P63" s="53"/>
      <c r="Q63" s="34">
        <f>Q$15+$A62</f>
        <v>-0.231767</v>
      </c>
      <c r="R63" s="34">
        <f t="shared" ref="R63:AL63" si="34">R$15+$A62</f>
        <v>-0.231096</v>
      </c>
      <c r="S63" s="34">
        <f t="shared" si="34"/>
        <v>-0.23030600000000001</v>
      </c>
      <c r="T63" s="34">
        <f t="shared" si="34"/>
        <v>-0.22946900000000001</v>
      </c>
      <c r="U63" s="34">
        <f t="shared" si="34"/>
        <v>-0.22856699999999999</v>
      </c>
      <c r="V63" s="34">
        <f t="shared" si="34"/>
        <v>-0.22733400000000001</v>
      </c>
      <c r="W63" s="34">
        <f t="shared" si="34"/>
        <v>-0.21482200000000001</v>
      </c>
      <c r="X63" s="34">
        <f t="shared" si="34"/>
        <v>-0.21183299999999999</v>
      </c>
      <c r="Y63" s="27">
        <f t="shared" si="34"/>
        <v>-0.22143199999999999</v>
      </c>
      <c r="Z63" s="27">
        <f t="shared" si="34"/>
        <v>-0.17646300000000001</v>
      </c>
      <c r="AA63" s="27">
        <f t="shared" si="34"/>
        <v>-0.12940099999999999</v>
      </c>
      <c r="AB63" s="27">
        <f t="shared" si="34"/>
        <v>-3.8256000000000012E-2</v>
      </c>
      <c r="AC63" s="27">
        <f t="shared" si="34"/>
        <v>8.4557999999999994E-2</v>
      </c>
      <c r="AD63" s="27">
        <f t="shared" si="34"/>
        <v>0.23729199999999998</v>
      </c>
      <c r="AE63" s="27">
        <f t="shared" si="34"/>
        <v>0.38465800000000006</v>
      </c>
      <c r="AF63" s="34">
        <f t="shared" si="34"/>
        <v>0.516378</v>
      </c>
      <c r="AG63" s="34">
        <f t="shared" si="34"/>
        <v>0.61727200000000004</v>
      </c>
      <c r="AH63" s="34">
        <f t="shared" si="34"/>
        <v>0.66251400000000005</v>
      </c>
      <c r="AI63" s="34">
        <f t="shared" si="34"/>
        <v>0.69771800000000006</v>
      </c>
      <c r="AJ63" s="34">
        <f t="shared" si="34"/>
        <v>0.71530700000000003</v>
      </c>
      <c r="AK63" s="34">
        <f t="shared" si="34"/>
        <v>0.72947800000000007</v>
      </c>
      <c r="AL63" s="34">
        <f t="shared" si="34"/>
        <v>0.737174</v>
      </c>
    </row>
    <row r="64" spans="1:38" s="4" customFormat="1" ht="12.75" thickBot="1">
      <c r="A64" s="19"/>
      <c r="B64" s="3"/>
      <c r="C64" s="3"/>
      <c r="D64" s="20"/>
      <c r="E64" s="20"/>
      <c r="F64" s="20"/>
      <c r="G64" s="20"/>
      <c r="J64" s="35"/>
      <c r="K64" s="35">
        <f t="shared" si="17"/>
        <v>0</v>
      </c>
      <c r="L64" s="59" t="s">
        <v>61</v>
      </c>
      <c r="M64" s="39">
        <f>IF(D62&gt;0,_xll.BDP(I62,"ASK")/100,(_xll.BDP(I62,"ASK")/100)+D62)</f>
        <v>1.9E-3</v>
      </c>
      <c r="N64" s="50"/>
      <c r="O64" s="43"/>
      <c r="P64" s="53"/>
      <c r="Q64" s="28" t="str">
        <f>$H62&amp;$H$29&amp;"_"&amp;Q$22&amp;$P$22</f>
        <v>154.5C_147P</v>
      </c>
      <c r="R64" s="28" t="str">
        <f>$H62&amp;$H$29&amp;"_"&amp;R$22&amp;$P$22</f>
        <v>154.5C_147.5P</v>
      </c>
      <c r="S64" s="28" t="str">
        <f>$H62&amp;$H$29&amp;"_"&amp;S$22&amp;$P$22</f>
        <v>154.5C_148P</v>
      </c>
      <c r="T64" s="28" t="str">
        <f>$H62&amp;$H$29&amp;"_"&amp;T$22&amp;$P$22</f>
        <v>154.5C_148.5P</v>
      </c>
      <c r="U64" s="28" t="str">
        <f>$H62&amp;$H$29&amp;"_"&amp;U$22&amp;$P$22</f>
        <v>154.5C_149P</v>
      </c>
      <c r="V64" s="28" t="str">
        <f>$H62&amp;$H$29&amp;"_"&amp;V$22&amp;$P$22</f>
        <v>154.5C_149.5P</v>
      </c>
      <c r="W64" s="28" t="str">
        <f>$H62&amp;$H$29&amp;"_"&amp;W$22&amp;$P$22</f>
        <v>154.5C_150P</v>
      </c>
      <c r="X64" s="28" t="str">
        <f>$H62&amp;$H$29&amp;"_"&amp;X$22&amp;$P$22</f>
        <v>154.5C_150.5P</v>
      </c>
      <c r="Y64" s="28" t="str">
        <f>$H62&amp;$H$29&amp;"_"&amp;Y$22&amp;$P$22</f>
        <v>154.5C_151P</v>
      </c>
      <c r="Z64" s="28" t="str">
        <f>$H62&amp;$H$29&amp;"_"&amp;Z$22&amp;$P$22</f>
        <v>154.5C_151.5P</v>
      </c>
      <c r="AA64" s="28" t="str">
        <f>$H62&amp;$H$29&amp;"_"&amp;AA$22&amp;$P$22</f>
        <v>154.5C_152P</v>
      </c>
      <c r="AB64" s="28" t="str">
        <f>$H62&amp;$H$29&amp;"_"&amp;AB$22&amp;$P$22</f>
        <v>154.5C_152.5P</v>
      </c>
      <c r="AC64" s="28" t="str">
        <f>$H62&amp;$H$29&amp;"_"&amp;AC$22&amp;$P$22</f>
        <v>154.5C_153P</v>
      </c>
      <c r="AD64" s="28" t="str">
        <f>$H62&amp;$H$29&amp;"_"&amp;AD$22&amp;$P$22</f>
        <v>154.5C_153.5P</v>
      </c>
      <c r="AE64" s="28" t="str">
        <f>$H62&amp;$H$29&amp;"_"&amp;AE$22&amp;$P$22</f>
        <v>154.5C_154P</v>
      </c>
      <c r="AF64" s="28" t="str">
        <f>$H62&amp;$H$29&amp;"_"&amp;AF$22&amp;$P$22</f>
        <v>154.5C_154.5P</v>
      </c>
      <c r="AG64" s="28" t="str">
        <f>$H62&amp;$H$29&amp;"_"&amp;AG$22&amp;$P$22</f>
        <v>154.5C_155P</v>
      </c>
      <c r="AH64" s="28" t="str">
        <f>$H62&amp;$H$29&amp;"_"&amp;AH$22&amp;$P$22</f>
        <v>154.5C_155.5P</v>
      </c>
      <c r="AI64" s="28" t="str">
        <f>$H62&amp;$H$29&amp;"_"&amp;AI$22&amp;$P$22</f>
        <v>154.5C_156P</v>
      </c>
      <c r="AJ64" s="28" t="str">
        <f>$H62&amp;$H$29&amp;"_"&amp;AJ$22&amp;$P$22</f>
        <v>154.5C_156.5P</v>
      </c>
      <c r="AK64" s="28" t="str">
        <f>$H62&amp;$H$29&amp;"_"&amp;AK$22&amp;$P$22</f>
        <v>154.5C_157P</v>
      </c>
      <c r="AL64" s="28" t="str">
        <f>$H62&amp;$H$29&amp;"_"&amp;AL$22&amp;$P$22</f>
        <v>154.5C_157.5P</v>
      </c>
    </row>
    <row r="65" spans="1:38" s="4" customFormat="1" ht="12.75" thickTop="1">
      <c r="A65" s="19"/>
      <c r="B65" s="3"/>
      <c r="C65" s="3"/>
      <c r="D65" s="20"/>
      <c r="E65" s="20"/>
      <c r="F65" s="20"/>
      <c r="G65" s="20"/>
      <c r="J65" s="35"/>
      <c r="K65" s="35">
        <f t="shared" si="17"/>
        <v>0</v>
      </c>
      <c r="L65" s="57"/>
      <c r="M65" s="39"/>
      <c r="N65" s="48"/>
      <c r="O65" s="43"/>
      <c r="P65" s="53"/>
      <c r="Q65" s="32"/>
      <c r="R65" s="32"/>
      <c r="S65" s="32"/>
      <c r="T65" s="32"/>
      <c r="U65" s="32"/>
      <c r="V65" s="32"/>
      <c r="X65" s="25"/>
      <c r="Y65" s="25"/>
      <c r="Z65" s="25"/>
      <c r="AA65" s="25"/>
      <c r="AB65" s="25"/>
      <c r="AC65" s="25"/>
      <c r="AD65" s="25"/>
      <c r="AE65" s="25"/>
      <c r="AF65" s="32"/>
      <c r="AG65" s="32"/>
      <c r="AH65" s="32"/>
      <c r="AI65" s="32"/>
      <c r="AJ65" s="32"/>
      <c r="AK65" s="32"/>
      <c r="AL65" s="32"/>
    </row>
    <row r="66" spans="1:38">
      <c r="A66" s="16">
        <f>_xll.BDP($I66, A$29)/-1</f>
        <v>-0.368892</v>
      </c>
      <c r="B66" s="12">
        <f>_xll.BDP($I66, B$29)/100</f>
        <v>8.2223900000000003E-2</v>
      </c>
      <c r="C66" s="6">
        <f ca="1">B66*(MIN(SQRT(1/365),(SQRT(($B$24/365)))))</f>
        <v>4.3037956268665474E-3</v>
      </c>
      <c r="D66" s="11">
        <f>(H66-$B$14)/100</f>
        <v>4.3000000000017738E-3</v>
      </c>
      <c r="E66" s="11">
        <f t="shared" ca="1" si="19"/>
        <v>0.59128728052970825</v>
      </c>
      <c r="F66" s="11">
        <f t="shared" ca="1" si="20"/>
        <v>0.27716397527234982</v>
      </c>
      <c r="G66" s="11">
        <f>IF(D66&gt;0,0,0.25*$B$26)</f>
        <v>0</v>
      </c>
      <c r="H66" s="4">
        <v>154.00000000000017</v>
      </c>
      <c r="I66" t="str">
        <f>($I$29&amp;" "&amp;H66&amp;" COMB Curncy")</f>
        <v>3BV5C 154 COMB Curncy</v>
      </c>
      <c r="J66" s="35">
        <f ca="1">-1*CGBlackScholes("t","c",B$14,H66,$B$24/365,$B$16,$B$15,B66)/100</f>
        <v>6.0627661213541375E-4</v>
      </c>
      <c r="K66" s="35">
        <f t="shared" ca="1" si="17"/>
        <v>0</v>
      </c>
      <c r="L66" s="57">
        <f ca="1">CGBlackScholes("g","c",B$14,H66,$B$24/365,$B$16,$B$15,B66)</f>
        <v>0.27762283698613038</v>
      </c>
      <c r="M66" s="39">
        <f ca="1">((M67+M68)/2)/$B$24</f>
        <v>7.4495018590171273E-4</v>
      </c>
      <c r="N66" s="48">
        <f ca="1">(MIN($J66,$M66) - $B$22*$B$23/10000*$F66)*10000</f>
        <v>-27.196910911327844</v>
      </c>
      <c r="O66" s="43" t="str">
        <f>ROUND((($M68*10000)+$B$23),0)&amp;" ticks"</f>
        <v>45 ticks</v>
      </c>
      <c r="P66" s="54">
        <f>SUM(Q65:AL65)</f>
        <v>0</v>
      </c>
      <c r="Q66" s="33" t="e">
        <f t="shared" ref="Q66:AL66" ca="1" si="35">(MIN(($J66+Q$24),($M66+Q$29))- $B$26 - (($B$22*$B$26)*MAX($F66,Q$20))-($G66+Q$21))* 10000</f>
        <v>#VALUE!</v>
      </c>
      <c r="R66" s="33" t="e">
        <f t="shared" ca="1" si="35"/>
        <v>#VALUE!</v>
      </c>
      <c r="S66" s="33" t="e">
        <f t="shared" ca="1" si="35"/>
        <v>#VALUE!</v>
      </c>
      <c r="T66" s="33" t="e">
        <f t="shared" ca="1" si="35"/>
        <v>#VALUE!</v>
      </c>
      <c r="U66" s="33" t="e">
        <f t="shared" ca="1" si="35"/>
        <v>#VALUE!</v>
      </c>
      <c r="V66" s="33" t="e">
        <f t="shared" ca="1" si="35"/>
        <v>#VALUE!</v>
      </c>
      <c r="W66" s="33" t="e">
        <f t="shared" ca="1" si="35"/>
        <v>#VALUE!</v>
      </c>
      <c r="X66" s="33" t="e">
        <f t="shared" ca="1" si="35"/>
        <v>#VALUE!</v>
      </c>
      <c r="Y66" s="26">
        <f t="shared" ca="1" si="35"/>
        <v>-3.4192289067265178</v>
      </c>
      <c r="Z66" s="26">
        <f t="shared" ca="1" si="35"/>
        <v>-2.1556244146519563</v>
      </c>
      <c r="AA66" s="26">
        <f t="shared" ca="1" si="35"/>
        <v>-1.4572336153691006</v>
      </c>
      <c r="AB66" s="26">
        <f t="shared" ca="1" si="35"/>
        <v>0.17585256283390752</v>
      </c>
      <c r="AC66" s="26">
        <f t="shared" ca="1" si="35"/>
        <v>1.2947953100585012</v>
      </c>
      <c r="AD66" s="26">
        <f t="shared" ca="1" si="35"/>
        <v>-3.4200953349748966</v>
      </c>
      <c r="AE66" s="26">
        <f t="shared" ca="1" si="35"/>
        <v>0.97710700156376462</v>
      </c>
      <c r="AF66" s="33">
        <f t="shared" ca="1" si="35"/>
        <v>9.545883927719151E-2</v>
      </c>
      <c r="AG66" s="33">
        <f t="shared" ca="1" si="35"/>
        <v>-1.3408351488260866</v>
      </c>
      <c r="AH66" s="33">
        <f t="shared" ca="1" si="35"/>
        <v>-2.5048198142981772</v>
      </c>
      <c r="AI66" s="33">
        <f t="shared" ca="1" si="35"/>
        <v>-3.0868121470338874</v>
      </c>
      <c r="AJ66" s="33">
        <f t="shared" ca="1" si="35"/>
        <v>-3.3196090801288372</v>
      </c>
      <c r="AK66" s="33">
        <f t="shared" ca="1" si="35"/>
        <v>-3.5524060132231208</v>
      </c>
      <c r="AL66" s="33">
        <f t="shared" ca="1" si="35"/>
        <v>-3.6688044797702677</v>
      </c>
    </row>
    <row r="67" spans="1:38" s="23" customFormat="1">
      <c r="H67" s="22"/>
      <c r="J67" s="36"/>
      <c r="K67" s="35">
        <f t="shared" si="17"/>
        <v>0</v>
      </c>
      <c r="L67" s="59" t="s">
        <v>60</v>
      </c>
      <c r="M67" s="39">
        <f>IF(D66&gt;0,_xll.BDP(I66,"BID")/100,(_xll.BDP(I66,"BID")/100)+D66)</f>
        <v>3.0999999999999999E-3</v>
      </c>
      <c r="N67" s="48"/>
      <c r="O67" s="43"/>
      <c r="P67" s="53"/>
      <c r="Q67" s="34">
        <f>Q$15+$A66</f>
        <v>-0.35887200000000002</v>
      </c>
      <c r="R67" s="34">
        <f t="shared" ref="R67:AL67" si="36">R$15+$A66</f>
        <v>-0.35820099999999999</v>
      </c>
      <c r="S67" s="34">
        <f t="shared" si="36"/>
        <v>-0.35741099999999998</v>
      </c>
      <c r="T67" s="34">
        <f t="shared" si="36"/>
        <v>-0.356574</v>
      </c>
      <c r="U67" s="34">
        <f t="shared" si="36"/>
        <v>-0.35567199999999999</v>
      </c>
      <c r="V67" s="34">
        <f t="shared" si="36"/>
        <v>-0.354439</v>
      </c>
      <c r="W67" s="34">
        <f t="shared" si="36"/>
        <v>-0.34192699999999998</v>
      </c>
      <c r="X67" s="34">
        <f t="shared" si="36"/>
        <v>-0.33893800000000002</v>
      </c>
      <c r="Y67" s="27">
        <f t="shared" si="36"/>
        <v>-0.34853699999999999</v>
      </c>
      <c r="Z67" s="27">
        <f t="shared" si="36"/>
        <v>-0.303568</v>
      </c>
      <c r="AA67" s="27">
        <f t="shared" si="36"/>
        <v>-0.25650600000000001</v>
      </c>
      <c r="AB67" s="27">
        <f t="shared" si="36"/>
        <v>-0.16536100000000001</v>
      </c>
      <c r="AC67" s="27">
        <f t="shared" si="36"/>
        <v>-4.2547000000000001E-2</v>
      </c>
      <c r="AD67" s="27">
        <f t="shared" si="36"/>
        <v>0.11018699999999998</v>
      </c>
      <c r="AE67" s="27">
        <f t="shared" si="36"/>
        <v>0.25755300000000003</v>
      </c>
      <c r="AF67" s="34">
        <f t="shared" si="36"/>
        <v>0.38927299999999998</v>
      </c>
      <c r="AG67" s="34">
        <f t="shared" si="36"/>
        <v>0.49016700000000002</v>
      </c>
      <c r="AH67" s="34">
        <f t="shared" si="36"/>
        <v>0.53540900000000002</v>
      </c>
      <c r="AI67" s="34">
        <f t="shared" si="36"/>
        <v>0.57061300000000004</v>
      </c>
      <c r="AJ67" s="34">
        <f t="shared" si="36"/>
        <v>0.588202</v>
      </c>
      <c r="AK67" s="34">
        <f t="shared" si="36"/>
        <v>0.60237300000000005</v>
      </c>
      <c r="AL67" s="34">
        <f t="shared" si="36"/>
        <v>0.61006899999999997</v>
      </c>
    </row>
    <row r="68" spans="1:38" s="4" customFormat="1" ht="12.75" thickBot="1">
      <c r="A68" s="19"/>
      <c r="B68" s="3"/>
      <c r="C68" s="3"/>
      <c r="D68" s="20"/>
      <c r="E68" s="20"/>
      <c r="F68" s="20"/>
      <c r="G68" s="20"/>
      <c r="J68" s="35"/>
      <c r="K68" s="35">
        <f t="shared" si="17"/>
        <v>0</v>
      </c>
      <c r="L68" s="59" t="s">
        <v>61</v>
      </c>
      <c r="M68" s="39">
        <f>IF(D66&gt;0,_xll.BDP(I66,"ASK")/100,(_xll.BDP(I66,"ASK")/100)+D66)</f>
        <v>3.3E-3</v>
      </c>
      <c r="N68" s="50"/>
      <c r="O68" s="43"/>
      <c r="P68" s="53"/>
      <c r="Q68" s="28" t="str">
        <f>$H66&amp;$H$29&amp;"_"&amp;Q$22&amp;$P$22</f>
        <v>154C_147P</v>
      </c>
      <c r="R68" s="28" t="str">
        <f>$H66&amp;$H$29&amp;"_"&amp;R$22&amp;$P$22</f>
        <v>154C_147.5P</v>
      </c>
      <c r="S68" s="28" t="str">
        <f>$H66&amp;$H$29&amp;"_"&amp;S$22&amp;$P$22</f>
        <v>154C_148P</v>
      </c>
      <c r="T68" s="28" t="str">
        <f>$H66&amp;$H$29&amp;"_"&amp;T$22&amp;$P$22</f>
        <v>154C_148.5P</v>
      </c>
      <c r="U68" s="28" t="str">
        <f>$H66&amp;$H$29&amp;"_"&amp;U$22&amp;$P$22</f>
        <v>154C_149P</v>
      </c>
      <c r="V68" s="28" t="str">
        <f>$H66&amp;$H$29&amp;"_"&amp;V$22&amp;$P$22</f>
        <v>154C_149.5P</v>
      </c>
      <c r="W68" s="28" t="str">
        <f>$H66&amp;$H$29&amp;"_"&amp;W$22&amp;$P$22</f>
        <v>154C_150P</v>
      </c>
      <c r="X68" s="28" t="str">
        <f>$H66&amp;$H$29&amp;"_"&amp;X$22&amp;$P$22</f>
        <v>154C_150.5P</v>
      </c>
      <c r="Y68" s="28" t="str">
        <f>$H66&amp;$H$29&amp;"_"&amp;Y$22&amp;$P$22</f>
        <v>154C_151P</v>
      </c>
      <c r="Z68" s="28" t="str">
        <f>$H66&amp;$H$29&amp;"_"&amp;Z$22&amp;$P$22</f>
        <v>154C_151.5P</v>
      </c>
      <c r="AA68" s="28" t="str">
        <f>$H66&amp;$H$29&amp;"_"&amp;AA$22&amp;$P$22</f>
        <v>154C_152P</v>
      </c>
      <c r="AB68" s="28" t="str">
        <f>$H66&amp;$H$29&amp;"_"&amp;AB$22&amp;$P$22</f>
        <v>154C_152.5P</v>
      </c>
      <c r="AC68" s="28" t="str">
        <f>$H66&amp;$H$29&amp;"_"&amp;AC$22&amp;$P$22</f>
        <v>154C_153P</v>
      </c>
      <c r="AD68" s="28" t="str">
        <f>$H66&amp;$H$29&amp;"_"&amp;AD$22&amp;$P$22</f>
        <v>154C_153.5P</v>
      </c>
      <c r="AE68" s="28" t="str">
        <f>$H66&amp;$H$29&amp;"_"&amp;AE$22&amp;$P$22</f>
        <v>154C_154P</v>
      </c>
      <c r="AF68" s="28" t="str">
        <f>$H66&amp;$H$29&amp;"_"&amp;AF$22&amp;$P$22</f>
        <v>154C_154.5P</v>
      </c>
      <c r="AG68" s="28" t="str">
        <f>$H66&amp;$H$29&amp;"_"&amp;AG$22&amp;$P$22</f>
        <v>154C_155P</v>
      </c>
      <c r="AH68" s="28" t="str">
        <f>$H66&amp;$H$29&amp;"_"&amp;AH$22&amp;$P$22</f>
        <v>154C_155.5P</v>
      </c>
      <c r="AI68" s="28" t="str">
        <f>$H66&amp;$H$29&amp;"_"&amp;AI$22&amp;$P$22</f>
        <v>154C_156P</v>
      </c>
      <c r="AJ68" s="28" t="str">
        <f>$H66&amp;$H$29&amp;"_"&amp;AJ$22&amp;$P$22</f>
        <v>154C_156.5P</v>
      </c>
      <c r="AK68" s="28" t="str">
        <f>$H66&amp;$H$29&amp;"_"&amp;AK$22&amp;$P$22</f>
        <v>154C_157P</v>
      </c>
      <c r="AL68" s="28" t="str">
        <f>$H66&amp;$H$29&amp;"_"&amp;AL$22&amp;$P$22</f>
        <v>154C_157.5P</v>
      </c>
    </row>
    <row r="69" spans="1:38" s="4" customFormat="1" ht="12.75" thickTop="1">
      <c r="A69" s="19"/>
      <c r="B69" s="3"/>
      <c r="C69" s="3"/>
      <c r="D69" s="20"/>
      <c r="E69" s="20"/>
      <c r="F69" s="20"/>
      <c r="G69" s="20"/>
      <c r="J69" s="35"/>
      <c r="K69" s="35">
        <f t="shared" si="17"/>
        <v>0</v>
      </c>
      <c r="L69" s="57"/>
      <c r="M69" s="39"/>
      <c r="N69" s="48"/>
      <c r="O69" s="43"/>
      <c r="P69" s="53"/>
      <c r="Q69" s="32"/>
      <c r="R69" s="32"/>
      <c r="S69" s="32"/>
      <c r="T69" s="32"/>
      <c r="U69" s="32"/>
      <c r="V69" s="32"/>
      <c r="W69" s="25"/>
      <c r="X69" s="25"/>
      <c r="Y69" s="25"/>
      <c r="Z69" s="25"/>
      <c r="AA69" s="25"/>
      <c r="AB69" s="25"/>
      <c r="AC69" s="25"/>
      <c r="AD69" s="25"/>
      <c r="AE69" s="25"/>
      <c r="AF69" s="32"/>
      <c r="AG69" s="32"/>
      <c r="AH69" s="32"/>
      <c r="AI69" s="32"/>
      <c r="AJ69" s="32"/>
      <c r="AK69" s="32"/>
      <c r="AL69" s="32"/>
    </row>
    <row r="70" spans="1:38">
      <c r="A70" s="16">
        <f>_xll.BDP($I70, A$29)/-1</f>
        <v>-0.52370000000000005</v>
      </c>
      <c r="B70" s="12">
        <f>_xll.BDP($I70, B$29)/100</f>
        <v>8.2036810000000002E-2</v>
      </c>
      <c r="C70" s="6">
        <f ca="1">B70*(MIN(SQRT(1/365),(SQRT(($B$24/365)))))</f>
        <v>4.2940028886988071E-3</v>
      </c>
      <c r="D70" s="11">
        <f>(H70-$B$14)/100</f>
        <v>-6.9999999999851073E-4</v>
      </c>
      <c r="E70" s="11">
        <f t="shared" ca="1" si="19"/>
        <v>9.6256068923196395E-2</v>
      </c>
      <c r="F70" s="11">
        <f t="shared" ca="1" si="20"/>
        <v>0.46165860046789997</v>
      </c>
      <c r="G70" s="11">
        <f ca="1">IF(D70&gt;0,0,0.25*$B$26)</f>
        <v>6.9839079928285568E-5</v>
      </c>
      <c r="H70" s="4">
        <v>153.50000000000014</v>
      </c>
      <c r="I70" t="str">
        <f>($I$29&amp;" "&amp;H70&amp;" COMB Curncy")</f>
        <v>3BV5C 153.5 COMB Curncy</v>
      </c>
      <c r="J70" s="35">
        <f ca="1">-1*CGBlackScholes("t","c",B$14,H70,$B$24/365,$B$16,$B$15,B70)/100</f>
        <v>6.3343789022864843E-4</v>
      </c>
      <c r="K70" s="35">
        <f t="shared" ca="1" si="17"/>
        <v>0</v>
      </c>
      <c r="L70" s="57">
        <f ca="1">CGBlackScholes("g","c",B$14,H70,$B$24/365,$B$16,$B$15,B70)</f>
        <v>0.29141082292619991</v>
      </c>
      <c r="M70" s="39">
        <f ca="1">((M71+M72)/2)/$B$24</f>
        <v>1.0941455855434873E-3</v>
      </c>
      <c r="N70" s="48">
        <f ca="1">(MIN($J70,$M70) - ($B$22*$B$23)/10000*$F70)*10000</f>
        <v>-49.064653153861514</v>
      </c>
      <c r="O70" s="43" t="str">
        <f>ROUND((($M72*10000)+$B$23),0)&amp;" ticks"</f>
        <v>61 ticks</v>
      </c>
      <c r="P70" s="54">
        <f>SUM(Q69:AL69)</f>
        <v>0</v>
      </c>
      <c r="Q70" s="33" t="e">
        <f t="shared" ref="Q70:AL70" ca="1" si="37">(MIN(($J70+Q$24),($M70+Q$29))- $B$26 - (($B$22*$B$26)*MAX($F70,Q$20))-($G70+Q$21))* 10000</f>
        <v>#VALUE!</v>
      </c>
      <c r="R70" s="33" t="e">
        <f t="shared" ca="1" si="37"/>
        <v>#VALUE!</v>
      </c>
      <c r="S70" s="33" t="e">
        <f t="shared" ca="1" si="37"/>
        <v>#VALUE!</v>
      </c>
      <c r="T70" s="33" t="e">
        <f t="shared" ca="1" si="37"/>
        <v>#VALUE!</v>
      </c>
      <c r="U70" s="33" t="e">
        <f t="shared" ca="1" si="37"/>
        <v>#VALUE!</v>
      </c>
      <c r="V70" s="33" t="e">
        <f t="shared" ca="1" si="37"/>
        <v>#VALUE!</v>
      </c>
      <c r="W70" s="33" t="e">
        <f t="shared" ca="1" si="37"/>
        <v>#VALUE!</v>
      </c>
      <c r="X70" s="33" t="e">
        <f t="shared" ca="1" si="37"/>
        <v>#VALUE!</v>
      </c>
      <c r="Y70" s="26">
        <f t="shared" ca="1" si="37"/>
        <v>-8.9999808752254751</v>
      </c>
      <c r="Z70" s="26">
        <f t="shared" ca="1" si="37"/>
        <v>-7.3822399816805868</v>
      </c>
      <c r="AA70" s="26">
        <f t="shared" ca="1" si="37"/>
        <v>-6.7213225067164029</v>
      </c>
      <c r="AB70" s="26">
        <f t="shared" ca="1" si="37"/>
        <v>-5.4048994056650477</v>
      </c>
      <c r="AC70" s="26">
        <f t="shared" ca="1" si="37"/>
        <v>-4.2859566584404565</v>
      </c>
      <c r="AD70" s="26">
        <f t="shared" ca="1" si="37"/>
        <v>-3.8468733533254067</v>
      </c>
      <c r="AE70" s="26">
        <f t="shared" ca="1" si="37"/>
        <v>-4.6036449669351907</v>
      </c>
      <c r="AF70" s="33">
        <f t="shared" ca="1" si="37"/>
        <v>-5.4852931292217653</v>
      </c>
      <c r="AG70" s="33">
        <f t="shared" ca="1" si="37"/>
        <v>-6.6724677469015017</v>
      </c>
      <c r="AH70" s="33">
        <f t="shared" ca="1" si="37"/>
        <v>-7.2651407786851694</v>
      </c>
      <c r="AI70" s="33">
        <f t="shared" ca="1" si="37"/>
        <v>-8.0131641839409049</v>
      </c>
      <c r="AJ70" s="33">
        <f t="shared" ca="1" si="37"/>
        <v>-8.3526757285294018</v>
      </c>
      <c r="AK70" s="33">
        <f t="shared" ca="1" si="37"/>
        <v>-8.8542455488372962</v>
      </c>
      <c r="AL70" s="33">
        <f t="shared" ca="1" si="37"/>
        <v>-9.1402297494064424</v>
      </c>
    </row>
    <row r="71" spans="1:38" s="23" customFormat="1">
      <c r="H71" s="22"/>
      <c r="J71" s="36"/>
      <c r="K71" s="35">
        <f t="shared" si="17"/>
        <v>0</v>
      </c>
      <c r="L71" s="59" t="s">
        <v>60</v>
      </c>
      <c r="M71" s="39">
        <f>IF(D70&gt;0,_xll.BDP(I70,"BID")/100,(_xll.BDP(I70,"BID")/100)+D70)</f>
        <v>4.5000000000014889E-3</v>
      </c>
      <c r="N71" s="48"/>
      <c r="O71" s="43"/>
      <c r="P71" s="53"/>
      <c r="Q71" s="34">
        <f>Q$15+$A70</f>
        <v>-0.51368000000000003</v>
      </c>
      <c r="R71" s="34">
        <f t="shared" ref="R71:AL71" si="38">R$15+$A70</f>
        <v>-0.51300900000000005</v>
      </c>
      <c r="S71" s="34">
        <f t="shared" si="38"/>
        <v>-0.51221900000000009</v>
      </c>
      <c r="T71" s="34">
        <f t="shared" si="38"/>
        <v>-0.511382</v>
      </c>
      <c r="U71" s="34">
        <f t="shared" si="38"/>
        <v>-0.51048000000000004</v>
      </c>
      <c r="V71" s="34">
        <f t="shared" si="38"/>
        <v>-0.50924700000000001</v>
      </c>
      <c r="W71" s="27">
        <f t="shared" si="38"/>
        <v>-0.49673500000000004</v>
      </c>
      <c r="X71" s="27">
        <f t="shared" si="38"/>
        <v>-0.49374600000000007</v>
      </c>
      <c r="Y71" s="27">
        <f t="shared" si="38"/>
        <v>-0.50334500000000004</v>
      </c>
      <c r="Z71" s="27">
        <f t="shared" si="38"/>
        <v>-0.45837600000000006</v>
      </c>
      <c r="AA71" s="27">
        <f t="shared" si="38"/>
        <v>-0.41131400000000007</v>
      </c>
      <c r="AB71" s="27">
        <f t="shared" si="38"/>
        <v>-0.32016900000000004</v>
      </c>
      <c r="AC71" s="27">
        <f t="shared" si="38"/>
        <v>-0.19735500000000006</v>
      </c>
      <c r="AD71" s="27">
        <f t="shared" si="38"/>
        <v>-4.4621000000000077E-2</v>
      </c>
      <c r="AE71" s="27">
        <f t="shared" si="38"/>
        <v>0.10274499999999998</v>
      </c>
      <c r="AF71" s="34">
        <f t="shared" si="38"/>
        <v>0.23446499999999992</v>
      </c>
      <c r="AG71" s="34">
        <f t="shared" si="38"/>
        <v>0.33535899999999996</v>
      </c>
      <c r="AH71" s="34">
        <f t="shared" si="38"/>
        <v>0.38060099999999997</v>
      </c>
      <c r="AI71" s="34">
        <f t="shared" si="38"/>
        <v>0.41580499999999998</v>
      </c>
      <c r="AJ71" s="34">
        <f t="shared" si="38"/>
        <v>0.43339399999999995</v>
      </c>
      <c r="AK71" s="34">
        <f t="shared" si="38"/>
        <v>0.44756499999999999</v>
      </c>
      <c r="AL71" s="34">
        <f t="shared" si="38"/>
        <v>0.45526099999999992</v>
      </c>
    </row>
    <row r="72" spans="1:38" s="4" customFormat="1" ht="12.75" thickBot="1">
      <c r="A72" s="19"/>
      <c r="B72" s="3"/>
      <c r="C72" s="3"/>
      <c r="D72" s="20"/>
      <c r="E72" s="20"/>
      <c r="F72" s="20"/>
      <c r="G72" s="20"/>
      <c r="J72" s="35"/>
      <c r="K72" s="35">
        <f t="shared" si="17"/>
        <v>0</v>
      </c>
      <c r="L72" s="59" t="s">
        <v>61</v>
      </c>
      <c r="M72" s="39">
        <f>IF(D70&gt;0,_xll.BDP(I70,"ASK")/100,(_xll.BDP(I70,"ASK")/100)+D70)</f>
        <v>4.90000000000149E-3</v>
      </c>
      <c r="N72" s="50"/>
      <c r="O72" s="43"/>
      <c r="P72" s="53"/>
      <c r="Q72" s="28" t="str">
        <f>$H70&amp;$H$29&amp;"_"&amp;Q$22&amp;$P$22</f>
        <v>153.5C_147P</v>
      </c>
      <c r="R72" s="28" t="str">
        <f>$H70&amp;$H$29&amp;"_"&amp;R$22&amp;$P$22</f>
        <v>153.5C_147.5P</v>
      </c>
      <c r="S72" s="28" t="str">
        <f>$H70&amp;$H$29&amp;"_"&amp;S$22&amp;$P$22</f>
        <v>153.5C_148P</v>
      </c>
      <c r="T72" s="28" t="str">
        <f>$H70&amp;$H$29&amp;"_"&amp;T$22&amp;$P$22</f>
        <v>153.5C_148.5P</v>
      </c>
      <c r="U72" s="28" t="str">
        <f>$H70&amp;$H$29&amp;"_"&amp;U$22&amp;$P$22</f>
        <v>153.5C_149P</v>
      </c>
      <c r="V72" s="28" t="str">
        <f>$H70&amp;$H$29&amp;"_"&amp;V$22&amp;$P$22</f>
        <v>153.5C_149.5P</v>
      </c>
      <c r="W72" s="28" t="str">
        <f>$H70&amp;$H$29&amp;"_"&amp;W$22&amp;$P$22</f>
        <v>153.5C_150P</v>
      </c>
      <c r="X72" s="28" t="str">
        <f>$H70&amp;$H$29&amp;"_"&amp;X$22&amp;$P$22</f>
        <v>153.5C_150.5P</v>
      </c>
      <c r="Y72" s="28" t="str">
        <f>$H70&amp;$H$29&amp;"_"&amp;Y$22&amp;$P$22</f>
        <v>153.5C_151P</v>
      </c>
      <c r="Z72" s="28" t="str">
        <f>$H70&amp;$H$29&amp;"_"&amp;Z$22&amp;$P$22</f>
        <v>153.5C_151.5P</v>
      </c>
      <c r="AA72" s="28" t="str">
        <f>$H70&amp;$H$29&amp;"_"&amp;AA$22&amp;$P$22</f>
        <v>153.5C_152P</v>
      </c>
      <c r="AB72" s="28" t="str">
        <f>$H70&amp;$H$29&amp;"_"&amp;AB$22&amp;$P$22</f>
        <v>153.5C_152.5P</v>
      </c>
      <c r="AC72" s="28" t="str">
        <f>$H70&amp;$H$29&amp;"_"&amp;AC$22&amp;$P$22</f>
        <v>153.5C_153P</v>
      </c>
      <c r="AD72" s="28" t="str">
        <f>$H70&amp;$H$29&amp;"_"&amp;AD$22&amp;$P$22</f>
        <v>153.5C_153.5P</v>
      </c>
      <c r="AE72" s="28" t="str">
        <f>$H70&amp;$H$29&amp;"_"&amp;AE$22&amp;$P$22</f>
        <v>153.5C_154P</v>
      </c>
      <c r="AF72" s="28" t="str">
        <f>$H70&amp;$H$29&amp;"_"&amp;AF$22&amp;$P$22</f>
        <v>153.5C_154.5P</v>
      </c>
      <c r="AG72" s="28" t="str">
        <f>$H70&amp;$H$29&amp;"_"&amp;AG$22&amp;$P$22</f>
        <v>153.5C_155P</v>
      </c>
      <c r="AH72" s="28" t="str">
        <f>$H70&amp;$H$29&amp;"_"&amp;AH$22&amp;$P$22</f>
        <v>153.5C_155.5P</v>
      </c>
      <c r="AI72" s="28" t="str">
        <f>$H70&amp;$H$29&amp;"_"&amp;AI$22&amp;$P$22</f>
        <v>153.5C_156P</v>
      </c>
      <c r="AJ72" s="28" t="str">
        <f>$H70&amp;$H$29&amp;"_"&amp;AJ$22&amp;$P$22</f>
        <v>153.5C_156.5P</v>
      </c>
      <c r="AK72" s="28" t="str">
        <f>$H70&amp;$H$29&amp;"_"&amp;AK$22&amp;$P$22</f>
        <v>153.5C_157P</v>
      </c>
      <c r="AL72" s="28" t="str">
        <f>$H70&amp;$H$29&amp;"_"&amp;AL$22&amp;$P$22</f>
        <v>153.5C_157.5P</v>
      </c>
    </row>
    <row r="73" spans="1:38" s="4" customFormat="1" ht="12.75" thickTop="1">
      <c r="A73" s="19"/>
      <c r="B73" s="3"/>
      <c r="C73" s="3"/>
      <c r="D73" s="20"/>
      <c r="E73" s="20"/>
      <c r="F73" s="20"/>
      <c r="G73" s="20"/>
      <c r="J73" s="35"/>
      <c r="K73" s="35">
        <f t="shared" si="17"/>
        <v>0</v>
      </c>
      <c r="L73" s="57"/>
      <c r="M73" s="39"/>
      <c r="N73" s="48"/>
      <c r="O73" s="43"/>
      <c r="P73" s="53"/>
      <c r="Q73" s="32"/>
      <c r="R73" s="32"/>
      <c r="S73" s="32"/>
      <c r="T73" s="32"/>
      <c r="U73" s="32"/>
      <c r="V73" s="32"/>
      <c r="X73" s="25"/>
      <c r="Z73" s="25"/>
      <c r="AA73" s="25"/>
      <c r="AB73" s="25"/>
      <c r="AC73" s="25"/>
      <c r="AD73" s="25"/>
      <c r="AE73" s="25"/>
      <c r="AF73" s="32"/>
      <c r="AG73" s="32"/>
      <c r="AH73" s="32"/>
      <c r="AI73" s="32"/>
      <c r="AJ73" s="32"/>
      <c r="AK73" s="32"/>
      <c r="AL73" s="32"/>
    </row>
    <row r="74" spans="1:38">
      <c r="A74" s="16">
        <f>_xll.BDP($I74, A$29)/-1</f>
        <v>-0.67532000000000003</v>
      </c>
      <c r="B74" s="12">
        <f>_xll.BDP($I74, B$29)/100</f>
        <v>8.2205220000000009E-2</v>
      </c>
      <c r="C74" s="6">
        <f ca="1">B74*(MIN(SQRT(1/365),(SQRT(($B$24/365)))))</f>
        <v>4.3028178709791486E-3</v>
      </c>
      <c r="D74" s="11">
        <f>(H74-$B$14)/100</f>
        <v>-5.6999999999985109E-3</v>
      </c>
      <c r="E74" s="11">
        <f t="shared" ca="1" si="19"/>
        <v>0.78379941837606204</v>
      </c>
      <c r="F74" s="11">
        <f t="shared" ca="1" si="20"/>
        <v>0.21657890759701826</v>
      </c>
      <c r="G74" s="11">
        <f ca="1">IF(D74&gt;0,0,0.25*$B$26)</f>
        <v>6.9839079928285568E-5</v>
      </c>
      <c r="H74" s="4">
        <v>153.00000000000014</v>
      </c>
      <c r="I74" t="str">
        <f>($I$29&amp;" "&amp;H74&amp;" COMB Curncy")</f>
        <v>3BV5C 153 COMB Curncy</v>
      </c>
      <c r="J74" s="35">
        <f ca="1">-1*CGBlackScholes("t","c",B$14,H74,$B$24/365,$B$16,$B$15,B74)/100</f>
        <v>5.8160823003909482E-4</v>
      </c>
      <c r="K74" s="35">
        <f t="shared" ca="1" si="17"/>
        <v>0</v>
      </c>
      <c r="L74" s="57">
        <f ca="1">CGBlackScholes("g","c",B$14,H74,$B$24/365,$B$16,$B$15,B74)</f>
        <v>0.26651473003292137</v>
      </c>
      <c r="M74" s="39">
        <f ca="1">((M75+M76)/2)/$B$24</f>
        <v>6.2855171935491698E-4</v>
      </c>
      <c r="N74" s="48">
        <f ca="1">(MIN($J74,$M74) - $B$22*$B$23/10000*$F74)*10000</f>
        <v>-20.173386611251242</v>
      </c>
      <c r="O74" s="43" t="str">
        <f>ROUND((($M76*10000)+$B$23),0)&amp;" ticks"</f>
        <v>45 ticks</v>
      </c>
      <c r="P74" s="54">
        <f>SUM(Q73:AL73)</f>
        <v>0</v>
      </c>
      <c r="Q74" s="33" t="e">
        <f t="shared" ref="Q74:AL74" ca="1" si="39">(MIN(($J74+Q$24),($M74+Q$29))- $B$26 - (($B$22*$B$26)*MAX($F74,Q$20))-($G74+Q$21))* 10000</f>
        <v>#VALUE!</v>
      </c>
      <c r="R74" s="33" t="e">
        <f t="shared" ca="1" si="39"/>
        <v>#VALUE!</v>
      </c>
      <c r="S74" s="33" t="e">
        <f t="shared" ca="1" si="39"/>
        <v>#VALUE!</v>
      </c>
      <c r="T74" s="33" t="e">
        <f t="shared" ca="1" si="39"/>
        <v>#VALUE!</v>
      </c>
      <c r="U74" s="33" t="e">
        <f t="shared" ca="1" si="39"/>
        <v>#VALUE!</v>
      </c>
      <c r="V74" s="33" t="e">
        <f t="shared" ca="1" si="39"/>
        <v>#VALUE!</v>
      </c>
      <c r="W74" s="33" t="e">
        <f t="shared" ca="1" si="39"/>
        <v>#VALUE!</v>
      </c>
      <c r="X74" s="33" t="e">
        <f t="shared" ca="1" si="39"/>
        <v>#VALUE!</v>
      </c>
      <c r="Y74" s="26">
        <f t="shared" ca="1" si="39"/>
        <v>-2.791111592056112</v>
      </c>
      <c r="Z74" s="26">
        <f t="shared" ca="1" si="39"/>
        <v>-2.3255177258675408</v>
      </c>
      <c r="AA74" s="26">
        <f t="shared" ca="1" si="39"/>
        <v>-1.6271269265846851</v>
      </c>
      <c r="AB74" s="26">
        <f t="shared" ca="1" si="39"/>
        <v>0.11885007162245324</v>
      </c>
      <c r="AC74" s="26">
        <f t="shared" ca="1" si="39"/>
        <v>2.042202843347686</v>
      </c>
      <c r="AD74" s="26">
        <f t="shared" ca="1" si="39"/>
        <v>-4.3651699552209431</v>
      </c>
      <c r="AE74" s="26">
        <f t="shared" ca="1" si="39"/>
        <v>3.2032381317718593E-2</v>
      </c>
      <c r="AF74" s="33">
        <f t="shared" ca="1" si="39"/>
        <v>0.11885007161832162</v>
      </c>
      <c r="AG74" s="33">
        <f t="shared" ca="1" si="39"/>
        <v>-1.5107284600416708</v>
      </c>
      <c r="AH74" s="33">
        <f t="shared" ca="1" si="39"/>
        <v>-2.6747131255137613</v>
      </c>
      <c r="AI74" s="33">
        <f t="shared" ca="1" si="39"/>
        <v>-3.2567054582494714</v>
      </c>
      <c r="AJ74" s="33">
        <f t="shared" ca="1" si="39"/>
        <v>-3.4895023913444212</v>
      </c>
      <c r="AK74" s="33">
        <f t="shared" ca="1" si="39"/>
        <v>-3.7222993244387053</v>
      </c>
      <c r="AL74" s="33">
        <f t="shared" ca="1" si="39"/>
        <v>-3.8386977909858517</v>
      </c>
    </row>
    <row r="75" spans="1:38" s="23" customFormat="1">
      <c r="H75" s="22"/>
      <c r="J75" s="36"/>
      <c r="K75" s="35">
        <f t="shared" si="17"/>
        <v>0</v>
      </c>
      <c r="L75" s="59" t="s">
        <v>60</v>
      </c>
      <c r="M75" s="39">
        <f>IF(D74&gt;0,_xll.BDP(I74,"BID")/100,(_xll.BDP(I74,"BID")/100)+D74)</f>
        <v>2.1000000000014896E-3</v>
      </c>
      <c r="N75" s="48"/>
      <c r="O75" s="43"/>
      <c r="P75" s="53"/>
      <c r="Q75" s="34">
        <f>Q$15+$A74</f>
        <v>-0.6653</v>
      </c>
      <c r="R75" s="34">
        <f t="shared" ref="R75:AL75" si="40">R$15+$A74</f>
        <v>-0.66462900000000003</v>
      </c>
      <c r="S75" s="34">
        <f t="shared" si="40"/>
        <v>-0.66383900000000007</v>
      </c>
      <c r="T75" s="34">
        <f t="shared" si="40"/>
        <v>-0.66300199999999998</v>
      </c>
      <c r="U75" s="34">
        <f t="shared" si="40"/>
        <v>-0.66210000000000002</v>
      </c>
      <c r="V75" s="34">
        <f t="shared" si="40"/>
        <v>-0.66086699999999998</v>
      </c>
      <c r="W75" s="27">
        <f t="shared" si="40"/>
        <v>-0.64835500000000001</v>
      </c>
      <c r="X75" s="27">
        <f t="shared" si="40"/>
        <v>-0.645366</v>
      </c>
      <c r="Y75" s="27">
        <f t="shared" si="40"/>
        <v>-0.65496500000000002</v>
      </c>
      <c r="Z75" s="27">
        <f t="shared" si="40"/>
        <v>-0.60999599999999998</v>
      </c>
      <c r="AA75" s="27">
        <f t="shared" si="40"/>
        <v>-0.56293400000000005</v>
      </c>
      <c r="AB75" s="27">
        <f t="shared" si="40"/>
        <v>-0.47178900000000001</v>
      </c>
      <c r="AC75" s="27">
        <f t="shared" ref="AC75" si="41">AC$15+$A74</f>
        <v>-0.34897500000000004</v>
      </c>
      <c r="AD75" s="27">
        <f t="shared" si="40"/>
        <v>-0.19624100000000005</v>
      </c>
      <c r="AE75" s="27">
        <f t="shared" si="40"/>
        <v>-4.8875000000000002E-2</v>
      </c>
      <c r="AF75" s="34">
        <f t="shared" si="40"/>
        <v>8.2844999999999946E-2</v>
      </c>
      <c r="AG75" s="34">
        <f t="shared" si="40"/>
        <v>0.18373899999999999</v>
      </c>
      <c r="AH75" s="34">
        <f t="shared" si="40"/>
        <v>0.22898099999999999</v>
      </c>
      <c r="AI75" s="34">
        <f t="shared" si="40"/>
        <v>0.264185</v>
      </c>
      <c r="AJ75" s="34">
        <f t="shared" si="40"/>
        <v>0.28177399999999997</v>
      </c>
      <c r="AK75" s="34">
        <f t="shared" si="40"/>
        <v>0.29594500000000001</v>
      </c>
      <c r="AL75" s="34">
        <f t="shared" si="40"/>
        <v>0.30364099999999994</v>
      </c>
    </row>
    <row r="76" spans="1:38" s="4" customFormat="1" ht="12.75" thickBot="1">
      <c r="A76" s="19"/>
      <c r="B76" s="3"/>
      <c r="C76" s="3"/>
      <c r="D76" s="20"/>
      <c r="E76" s="20"/>
      <c r="F76" s="20"/>
      <c r="G76" s="20"/>
      <c r="J76" s="35"/>
      <c r="K76" s="35">
        <f t="shared" si="17"/>
        <v>0</v>
      </c>
      <c r="L76" s="59" t="s">
        <v>61</v>
      </c>
      <c r="M76" s="39">
        <f>IF(D74&gt;0,_xll.BDP(I74,"ASK")/100,(_xll.BDP(I74,"ASK")/100)+D74)</f>
        <v>3.3000000000014901E-3</v>
      </c>
      <c r="N76" s="50"/>
      <c r="O76" s="43"/>
      <c r="P76" s="53"/>
      <c r="Q76" s="28" t="str">
        <f>$H74&amp;$H$29&amp;"_"&amp;Q$22&amp;$P$22</f>
        <v>153C_147P</v>
      </c>
      <c r="R76" s="28" t="str">
        <f>$H74&amp;$H$29&amp;"_"&amp;R$22&amp;$P$22</f>
        <v>153C_147.5P</v>
      </c>
      <c r="S76" s="28" t="str">
        <f>$H74&amp;$H$29&amp;"_"&amp;S$22&amp;$P$22</f>
        <v>153C_148P</v>
      </c>
      <c r="T76" s="28" t="str">
        <f>$H74&amp;$H$29&amp;"_"&amp;T$22&amp;$P$22</f>
        <v>153C_148.5P</v>
      </c>
      <c r="U76" s="28" t="str">
        <f>$H74&amp;$H$29&amp;"_"&amp;U$22&amp;$P$22</f>
        <v>153C_149P</v>
      </c>
      <c r="V76" s="28" t="str">
        <f>$H74&amp;$H$29&amp;"_"&amp;V$22&amp;$P$22</f>
        <v>153C_149.5P</v>
      </c>
      <c r="W76" s="28" t="str">
        <f>$H74&amp;$H$29&amp;"_"&amp;W$22&amp;$P$22</f>
        <v>153C_150P</v>
      </c>
      <c r="X76" s="28" t="str">
        <f>$H74&amp;$H$29&amp;"_"&amp;X$22&amp;$P$22</f>
        <v>153C_150.5P</v>
      </c>
      <c r="Y76" s="28" t="str">
        <f>$H74&amp;$H$29&amp;"_"&amp;Y$22&amp;$P$22</f>
        <v>153C_151P</v>
      </c>
      <c r="Z76" s="28" t="str">
        <f>$H74&amp;$H$29&amp;"_"&amp;Z$22&amp;$P$22</f>
        <v>153C_151.5P</v>
      </c>
      <c r="AA76" s="28" t="str">
        <f>$H74&amp;$H$29&amp;"_"&amp;AA$22&amp;$P$22</f>
        <v>153C_152P</v>
      </c>
      <c r="AB76" s="28" t="str">
        <f>$H74&amp;$H$29&amp;"_"&amp;AB$22&amp;$P$22</f>
        <v>153C_152.5P</v>
      </c>
      <c r="AC76" s="28" t="str">
        <f>$H74&amp;$H$29&amp;"_"&amp;AC$22&amp;$P$22</f>
        <v>153C_153P</v>
      </c>
      <c r="AD76" s="28" t="str">
        <f>$H74&amp;$H$29&amp;"_"&amp;AD$22&amp;$P$22</f>
        <v>153C_153.5P</v>
      </c>
      <c r="AE76" s="28" t="str">
        <f>$H74&amp;$H$29&amp;"_"&amp;AE$22&amp;$P$22</f>
        <v>153C_154P</v>
      </c>
      <c r="AF76" s="28" t="str">
        <f>$H74&amp;$H$29&amp;"_"&amp;AF$22&amp;$P$22</f>
        <v>153C_154.5P</v>
      </c>
      <c r="AG76" s="28" t="str">
        <f>$H74&amp;$H$29&amp;"_"&amp;AG$22&amp;$P$22</f>
        <v>153C_155P</v>
      </c>
      <c r="AH76" s="28" t="str">
        <f>$H74&amp;$H$29&amp;"_"&amp;AH$22&amp;$P$22</f>
        <v>153C_155.5P</v>
      </c>
      <c r="AI76" s="28" t="str">
        <f>$H74&amp;$H$29&amp;"_"&amp;AI$22&amp;$P$22</f>
        <v>153C_156P</v>
      </c>
      <c r="AJ76" s="28" t="str">
        <f>$H74&amp;$H$29&amp;"_"&amp;AJ$22&amp;$P$22</f>
        <v>153C_156.5P</v>
      </c>
      <c r="AK76" s="28" t="str">
        <f>$H74&amp;$H$29&amp;"_"&amp;AK$22&amp;$P$22</f>
        <v>153C_157P</v>
      </c>
      <c r="AL76" s="28" t="str">
        <f>$H74&amp;$H$29&amp;"_"&amp;AL$22&amp;$P$22</f>
        <v>153C_157.5P</v>
      </c>
    </row>
    <row r="77" spans="1:38" s="4" customFormat="1" ht="12.75" thickTop="1">
      <c r="A77" s="19"/>
      <c r="B77" s="3"/>
      <c r="C77" s="3"/>
      <c r="D77" s="20"/>
      <c r="E77" s="20"/>
      <c r="F77" s="20"/>
      <c r="G77" s="20"/>
      <c r="J77" s="35"/>
      <c r="K77" s="35">
        <f t="shared" si="17"/>
        <v>0</v>
      </c>
      <c r="L77" s="57"/>
      <c r="M77" s="39"/>
      <c r="N77" s="48"/>
      <c r="O77" s="43"/>
      <c r="P77" s="53"/>
      <c r="Q77" s="32"/>
      <c r="R77" s="32"/>
      <c r="S77" s="32"/>
      <c r="T77" s="32"/>
      <c r="U77" s="32"/>
      <c r="V77" s="32"/>
      <c r="W77" s="25"/>
      <c r="X77" s="25"/>
      <c r="Y77" s="25"/>
      <c r="Z77" s="25"/>
      <c r="AA77" s="25"/>
      <c r="AB77" s="25"/>
      <c r="AC77" s="25"/>
      <c r="AD77" s="25"/>
      <c r="AE77" s="25"/>
      <c r="AF77" s="32"/>
      <c r="AG77" s="32"/>
      <c r="AH77" s="32"/>
      <c r="AI77" s="32"/>
      <c r="AJ77" s="32"/>
      <c r="AK77" s="32"/>
      <c r="AL77" s="32"/>
    </row>
    <row r="78" spans="1:38">
      <c r="A78" s="16">
        <f>_xll.BDP($I78, A$29)/-1</f>
        <v>-0.79681500000000005</v>
      </c>
      <c r="B78" s="12">
        <f>_xll.BDP($I78, B$29)/100</f>
        <v>8.5124340000000007E-2</v>
      </c>
      <c r="C78" s="6">
        <f ca="1">B78*(MIN(SQRT(1/365),(SQRT(($B$24/365)))))</f>
        <v>4.4556115950703037E-3</v>
      </c>
      <c r="D78" s="11">
        <f>(H78-$B$14)/100</f>
        <v>-1.0699999999998796E-2</v>
      </c>
      <c r="E78" s="11">
        <f t="shared" ca="1" si="19"/>
        <v>1.4713427678289668</v>
      </c>
      <c r="F78" s="11">
        <f t="shared" ca="1" si="20"/>
        <v>7.0599221370910792E-2</v>
      </c>
      <c r="G78" s="11">
        <f ca="1">IF(D78&gt;0,0,0.25*$B$26)</f>
        <v>6.9839079928285568E-5</v>
      </c>
      <c r="H78" s="4">
        <v>152.50000000000011</v>
      </c>
      <c r="I78" t="str">
        <f>($I$29&amp;" "&amp;H78&amp;" COMB Curncy")</f>
        <v>3BV5C 152.5 COMB Curncy</v>
      </c>
      <c r="J78" s="35">
        <f ca="1">-1*CGBlackScholes("t","c",B$14,H78,$B$24/365,$B$16,$B$15,B78)/100</f>
        <v>4.9229303907368936E-4</v>
      </c>
      <c r="K78" s="35">
        <f t="shared" ca="1" si="17"/>
        <v>0</v>
      </c>
      <c r="L78" s="57">
        <f ca="1">CGBlackScholes("g","c",B$14,H78,$B$24/365,$B$16,$B$15,B78)</f>
        <v>0.21044034035089521</v>
      </c>
      <c r="M78" s="39">
        <f ca="1">((M79+M80)/2)/$B$24</f>
        <v>3.7247509295113663E-4</v>
      </c>
      <c r="N78" s="48">
        <f ca="1">(MIN($J78,$M78) - $B$22*$B$23/10000*$F78)*10000</f>
        <v>-4.7471556349979283</v>
      </c>
      <c r="O78" s="43" t="str">
        <f>ROUND((($M80*10000)+$B$23),0)&amp;" ticks"</f>
        <v>34 ticks</v>
      </c>
      <c r="P78" s="54">
        <f>SUM(Q77:AL77)</f>
        <v>0</v>
      </c>
      <c r="Q78" s="33" t="e">
        <f t="shared" ref="Q78:AL78" ca="1" si="42">(MIN(($J78+Q$24),($M78+Q$29))- $B$26 - (($B$22*$B$26)*MAX($F78,Q$20))-($G78+Q$21))* 10000</f>
        <v>#VALUE!</v>
      </c>
      <c r="R78" s="33" t="e">
        <f t="shared" ca="1" si="42"/>
        <v>#VALUE!</v>
      </c>
      <c r="S78" s="33" t="e">
        <f t="shared" ca="1" si="42"/>
        <v>#VALUE!</v>
      </c>
      <c r="T78" s="33" t="e">
        <f t="shared" ca="1" si="42"/>
        <v>#VALUE!</v>
      </c>
      <c r="U78" s="33" t="e">
        <f t="shared" ca="1" si="42"/>
        <v>#VALUE!</v>
      </c>
      <c r="V78" s="33" t="e">
        <f t="shared" ca="1" si="42"/>
        <v>#VALUE!</v>
      </c>
      <c r="W78" s="33" t="e">
        <f t="shared" ca="1" si="42"/>
        <v>#VALUE!</v>
      </c>
      <c r="X78" s="33" t="e">
        <f t="shared" ca="1" si="42"/>
        <v>#VALUE!</v>
      </c>
      <c r="Y78" s="33">
        <f t="shared" ca="1" si="42"/>
        <v>-1.2738430663934479</v>
      </c>
      <c r="Z78" s="33">
        <f t="shared" ca="1" si="42"/>
        <v>-0.80824920020487756</v>
      </c>
      <c r="AA78" s="33">
        <f t="shared" ca="1" si="42"/>
        <v>-0.10985840092202161</v>
      </c>
      <c r="AB78" s="33">
        <f t="shared" ca="1" si="42"/>
        <v>1.6361185972851178</v>
      </c>
      <c r="AC78" s="33">
        <f t="shared" ca="1" si="42"/>
        <v>0.46804547126321822</v>
      </c>
      <c r="AD78" s="33">
        <f t="shared" ca="1" si="42"/>
        <v>-5.2583218648749988</v>
      </c>
      <c r="AE78" s="33">
        <f t="shared" ca="1" si="42"/>
        <v>-0.86111952833633487</v>
      </c>
      <c r="AF78" s="33">
        <f t="shared" ca="1" si="42"/>
        <v>0.80142618391248099</v>
      </c>
      <c r="AG78" s="33">
        <f t="shared" ca="1" si="42"/>
        <v>6.5400656209935858E-3</v>
      </c>
      <c r="AH78" s="33">
        <f t="shared" ca="1" si="42"/>
        <v>-1.1574445998510992</v>
      </c>
      <c r="AI78" s="33">
        <f t="shared" ca="1" si="42"/>
        <v>-1.7394369325868082</v>
      </c>
      <c r="AJ78" s="33">
        <f t="shared" ca="1" si="42"/>
        <v>-1.9722338656817584</v>
      </c>
      <c r="AK78" s="33">
        <f t="shared" ca="1" si="42"/>
        <v>-2.205030798776042</v>
      </c>
      <c r="AL78" s="33">
        <f t="shared" ca="1" si="42"/>
        <v>-2.3214292653231881</v>
      </c>
    </row>
    <row r="79" spans="1:38" s="23" customFormat="1">
      <c r="H79" s="22"/>
      <c r="J79" s="36"/>
      <c r="K79" s="35">
        <f t="shared" si="17"/>
        <v>0</v>
      </c>
      <c r="L79" s="59" t="s">
        <v>60</v>
      </c>
      <c r="M79" s="39">
        <f>IF(D78&gt;0,_xll.BDP(I78,"BID")/100,(_xll.BDP(I78,"BID")/100)+D78)</f>
        <v>1.0000000000012031E-3</v>
      </c>
      <c r="N79" s="48"/>
      <c r="O79" s="43"/>
      <c r="P79" s="53"/>
      <c r="Q79" s="34">
        <f>Q$15+$A78</f>
        <v>-0.78679500000000002</v>
      </c>
      <c r="R79" s="34">
        <f t="shared" ref="R79:AL79" si="43">R$15+$A78</f>
        <v>-0.78612400000000004</v>
      </c>
      <c r="S79" s="34">
        <f t="shared" si="43"/>
        <v>-0.78533400000000009</v>
      </c>
      <c r="T79" s="34">
        <f t="shared" si="43"/>
        <v>-0.784497</v>
      </c>
      <c r="U79" s="34">
        <f t="shared" si="43"/>
        <v>-0.78359500000000004</v>
      </c>
      <c r="V79" s="34">
        <f t="shared" si="43"/>
        <v>-0.782362</v>
      </c>
      <c r="W79" s="34">
        <f t="shared" si="43"/>
        <v>-0.76985000000000003</v>
      </c>
      <c r="X79" s="34">
        <f t="shared" si="43"/>
        <v>-0.76686100000000001</v>
      </c>
      <c r="Y79" s="27">
        <f t="shared" si="43"/>
        <v>-0.77646000000000004</v>
      </c>
      <c r="Z79" s="27">
        <f t="shared" si="43"/>
        <v>-0.73149100000000011</v>
      </c>
      <c r="AA79" s="27">
        <f t="shared" si="43"/>
        <v>-0.68442900000000007</v>
      </c>
      <c r="AB79" s="27">
        <f t="shared" si="43"/>
        <v>-0.59328400000000003</v>
      </c>
      <c r="AC79" s="27">
        <f t="shared" si="43"/>
        <v>-0.47047000000000005</v>
      </c>
      <c r="AD79" s="27">
        <f t="shared" si="43"/>
        <v>-0.31773600000000007</v>
      </c>
      <c r="AE79" s="27">
        <f t="shared" si="43"/>
        <v>-0.17037000000000002</v>
      </c>
      <c r="AF79" s="34">
        <f t="shared" si="43"/>
        <v>-3.8650000000000073E-2</v>
      </c>
      <c r="AG79" s="34">
        <f t="shared" si="43"/>
        <v>6.2243999999999966E-2</v>
      </c>
      <c r="AH79" s="34">
        <f t="shared" si="43"/>
        <v>0.10748599999999997</v>
      </c>
      <c r="AI79" s="34">
        <f t="shared" si="43"/>
        <v>0.14268999999999998</v>
      </c>
      <c r="AJ79" s="34">
        <f t="shared" si="43"/>
        <v>0.16027899999999995</v>
      </c>
      <c r="AK79" s="34">
        <f t="shared" si="43"/>
        <v>0.17444999999999999</v>
      </c>
      <c r="AL79" s="34">
        <f t="shared" si="43"/>
        <v>0.18214599999999992</v>
      </c>
    </row>
    <row r="80" spans="1:38" s="4" customFormat="1" ht="12.75" thickBot="1">
      <c r="A80" s="19"/>
      <c r="B80" s="3"/>
      <c r="C80" s="3"/>
      <c r="D80" s="20"/>
      <c r="E80" s="20"/>
      <c r="F80" s="20"/>
      <c r="G80" s="20"/>
      <c r="J80" s="35"/>
      <c r="K80" s="35">
        <f t="shared" si="17"/>
        <v>0</v>
      </c>
      <c r="L80" s="59" t="s">
        <v>61</v>
      </c>
      <c r="M80" s="39">
        <f>IF(D78&gt;0,_xll.BDP(I78,"ASK")/100,(_xll.BDP(I78,"ASK")/100)+D78)</f>
        <v>2.2000000000012045E-3</v>
      </c>
      <c r="N80" s="50"/>
      <c r="O80" s="43"/>
      <c r="P80" s="53"/>
      <c r="Q80" s="28" t="str">
        <f>$H78&amp;$H$29&amp;"_"&amp;Q$22&amp;$P$22</f>
        <v>152.5C_147P</v>
      </c>
      <c r="R80" s="28" t="str">
        <f>$H78&amp;$H$29&amp;"_"&amp;R$22&amp;$P$22</f>
        <v>152.5C_147.5P</v>
      </c>
      <c r="S80" s="28" t="str">
        <f>$H78&amp;$H$29&amp;"_"&amp;S$22&amp;$P$22</f>
        <v>152.5C_148P</v>
      </c>
      <c r="T80" s="28" t="str">
        <f>$H78&amp;$H$29&amp;"_"&amp;T$22&amp;$P$22</f>
        <v>152.5C_148.5P</v>
      </c>
      <c r="U80" s="28" t="str">
        <f>$H78&amp;$H$29&amp;"_"&amp;U$22&amp;$P$22</f>
        <v>152.5C_149P</v>
      </c>
      <c r="V80" s="28" t="str">
        <f>$H78&amp;$H$29&amp;"_"&amp;V$22&amp;$P$22</f>
        <v>152.5C_149.5P</v>
      </c>
      <c r="W80" s="28" t="str">
        <f>$H78&amp;$H$29&amp;"_"&amp;W$22&amp;$P$22</f>
        <v>152.5C_150P</v>
      </c>
      <c r="X80" s="28" t="str">
        <f>$H78&amp;$H$29&amp;"_"&amp;X$22&amp;$P$22</f>
        <v>152.5C_150.5P</v>
      </c>
      <c r="Y80" s="28" t="str">
        <f>$H78&amp;$H$29&amp;"_"&amp;Y$22&amp;$P$22</f>
        <v>152.5C_151P</v>
      </c>
      <c r="Z80" s="28" t="str">
        <f>$H78&amp;$H$29&amp;"_"&amp;Z$22&amp;$P$22</f>
        <v>152.5C_151.5P</v>
      </c>
      <c r="AA80" s="28" t="str">
        <f>$H78&amp;$H$29&amp;"_"&amp;AA$22&amp;$P$22</f>
        <v>152.5C_152P</v>
      </c>
      <c r="AB80" s="28" t="str">
        <f>$H78&amp;$H$29&amp;"_"&amp;AB$22&amp;$P$22</f>
        <v>152.5C_152.5P</v>
      </c>
      <c r="AC80" s="28" t="str">
        <f>$H78&amp;$H$29&amp;"_"&amp;AC$22&amp;$P$22</f>
        <v>152.5C_153P</v>
      </c>
      <c r="AD80" s="28" t="str">
        <f>$H78&amp;$H$29&amp;"_"&amp;AD$22&amp;$P$22</f>
        <v>152.5C_153.5P</v>
      </c>
      <c r="AE80" s="28" t="str">
        <f>$H78&amp;$H$29&amp;"_"&amp;AE$22&amp;$P$22</f>
        <v>152.5C_154P</v>
      </c>
      <c r="AF80" s="28" t="str">
        <f>$H78&amp;$H$29&amp;"_"&amp;AF$22&amp;$P$22</f>
        <v>152.5C_154.5P</v>
      </c>
      <c r="AG80" s="28" t="str">
        <f>$H78&amp;$H$29&amp;"_"&amp;AG$22&amp;$P$22</f>
        <v>152.5C_155P</v>
      </c>
      <c r="AH80" s="28" t="str">
        <f>$H78&amp;$H$29&amp;"_"&amp;AH$22&amp;$P$22</f>
        <v>152.5C_155.5P</v>
      </c>
      <c r="AI80" s="28" t="str">
        <f>$H78&amp;$H$29&amp;"_"&amp;AI$22&amp;$P$22</f>
        <v>152.5C_156P</v>
      </c>
      <c r="AJ80" s="28" t="str">
        <f>$H78&amp;$H$29&amp;"_"&amp;AJ$22&amp;$P$22</f>
        <v>152.5C_156.5P</v>
      </c>
      <c r="AK80" s="28" t="str">
        <f>$H78&amp;$H$29&amp;"_"&amp;AK$22&amp;$P$22</f>
        <v>152.5C_157P</v>
      </c>
      <c r="AL80" s="28" t="str">
        <f>$H78&amp;$H$29&amp;"_"&amp;AL$22&amp;$P$22</f>
        <v>152.5C_157.5P</v>
      </c>
    </row>
    <row r="81" spans="1:38" s="4" customFormat="1" ht="12.75" thickTop="1">
      <c r="A81" s="19"/>
      <c r="B81" s="3"/>
      <c r="C81" s="3"/>
      <c r="D81" s="20"/>
      <c r="E81" s="20"/>
      <c r="F81" s="20"/>
      <c r="G81" s="20"/>
      <c r="J81" s="35"/>
      <c r="K81" s="35">
        <f t="shared" si="17"/>
        <v>0</v>
      </c>
      <c r="L81" s="57"/>
      <c r="M81" s="39"/>
      <c r="N81" s="48"/>
      <c r="O81" s="43"/>
      <c r="P81" s="53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</row>
    <row r="82" spans="1:38" s="4" customFormat="1">
      <c r="A82" s="16">
        <f>_xll.BDP($I82, A$29)/-1</f>
        <v>-0.88027599999999995</v>
      </c>
      <c r="B82" s="12">
        <f>_xll.BDP($I82, B$29)/100</f>
        <v>8.7917769999999992E-2</v>
      </c>
      <c r="C82" s="6">
        <f ca="1">B82*(MIN(SQRT(1/365),(SQRT(($B$24/365)))))</f>
        <v>4.601826403878421E-3</v>
      </c>
      <c r="D82" s="11">
        <f>(H82-$B$14)/100</f>
        <v>-1.5699999999998795E-2</v>
      </c>
      <c r="E82" s="11">
        <f t="shared" ca="1" si="19"/>
        <v>2.1588861172818321</v>
      </c>
      <c r="F82" s="11">
        <f t="shared" ca="1" si="20"/>
        <v>1.5429501581688099E-2</v>
      </c>
      <c r="G82" s="11">
        <f ca="1">IF(D82&gt;0,0,0.25*$B$26)</f>
        <v>6.9839079928285568E-5</v>
      </c>
      <c r="H82" s="4">
        <v>152.00000000000011</v>
      </c>
      <c r="I82" t="str">
        <f>($I$29&amp;" "&amp;H82&amp;" COMB Curncy")</f>
        <v>3BV5C 152 COMB Curncy</v>
      </c>
      <c r="J82" s="35">
        <f ca="1">-1*CGBlackScholes("t","c",B$14,H82,$B$24/365,$B$16,$B$15,B82)/100</f>
        <v>3.7820221134617538E-4</v>
      </c>
      <c r="K82" s="35">
        <f t="shared" ca="1" si="17"/>
        <v>0</v>
      </c>
      <c r="L82" s="57">
        <f ca="1">CGBlackScholes("g","c",B$14,H82,$B$24/365,$B$16,$B$15,B82)</f>
        <v>0.15163772733590619</v>
      </c>
      <c r="M82" s="39">
        <f ca="1">((M83+M84)/2)/$B$24</f>
        <v>2.0951723978513732E-4</v>
      </c>
      <c r="N82" s="48">
        <f ca="1">(MIN($J82,$M82) - $B$22*$B$23/10000*$F82)*10000</f>
        <v>0.24363220804880142</v>
      </c>
      <c r="O82" s="43" t="str">
        <f>ROUND((($M84*10000)+$B$23),0)&amp;" ticks"</f>
        <v>28 ticks</v>
      </c>
      <c r="P82" s="54">
        <f>SUM(Q81:AL81)</f>
        <v>0</v>
      </c>
      <c r="Q82" s="33" t="e">
        <f t="shared" ref="Q82:AL82" ca="1" si="44">(MIN(($J82+Q$24),($M82+Q$29))- $B$26 - (($B$22*$B$26)*MAX($F82,Q$20))-($G82+Q$21))* 10000</f>
        <v>#VALUE!</v>
      </c>
      <c r="R82" s="33" t="e">
        <f t="shared" ca="1" si="44"/>
        <v>#VALUE!</v>
      </c>
      <c r="S82" s="33" t="e">
        <f t="shared" ca="1" si="44"/>
        <v>#VALUE!</v>
      </c>
      <c r="T82" s="33" t="e">
        <f t="shared" ca="1" si="44"/>
        <v>#VALUE!</v>
      </c>
      <c r="U82" s="33" t="e">
        <f t="shared" ca="1" si="44"/>
        <v>#VALUE!</v>
      </c>
      <c r="V82" s="33" t="e">
        <f t="shared" ca="1" si="44"/>
        <v>#VALUE!</v>
      </c>
      <c r="W82" s="33" t="e">
        <f t="shared" ca="1" si="44"/>
        <v>#VALUE!</v>
      </c>
      <c r="X82" s="33" t="e">
        <f t="shared" ca="1" si="44"/>
        <v>#VALUE!</v>
      </c>
      <c r="Y82" s="33">
        <f t="shared" ca="1" si="44"/>
        <v>-1.3622206100611842</v>
      </c>
      <c r="Z82" s="33">
        <f t="shared" ca="1" si="44"/>
        <v>-0.89662674387261376</v>
      </c>
      <c r="AA82" s="33">
        <f t="shared" ca="1" si="44"/>
        <v>-0.19823594458975835</v>
      </c>
      <c r="AB82" s="33">
        <f t="shared" ca="1" si="44"/>
        <v>6.5400656251241246E-3</v>
      </c>
      <c r="AC82" s="33">
        <f t="shared" ca="1" si="44"/>
        <v>-1.1615330603967764</v>
      </c>
      <c r="AD82" s="33">
        <f t="shared" ca="1" si="44"/>
        <v>-6.399230142150139</v>
      </c>
      <c r="AE82" s="33">
        <f t="shared" ca="1" si="44"/>
        <v>-2.2720228812004213</v>
      </c>
      <c r="AF82" s="33">
        <f t="shared" ca="1" si="44"/>
        <v>-0.82815234774751156</v>
      </c>
      <c r="AG82" s="33">
        <f t="shared" ca="1" si="44"/>
        <v>-0.33879533931241307</v>
      </c>
      <c r="AH82" s="33">
        <f t="shared" ca="1" si="44"/>
        <v>-1.2458221435188348</v>
      </c>
      <c r="AI82" s="33">
        <f t="shared" ca="1" si="44"/>
        <v>-1.8278144762545445</v>
      </c>
      <c r="AJ82" s="33">
        <f t="shared" ca="1" si="44"/>
        <v>-2.0606114093494945</v>
      </c>
      <c r="AK82" s="33">
        <f t="shared" ca="1" si="44"/>
        <v>-2.2934083424437786</v>
      </c>
      <c r="AL82" s="33">
        <f t="shared" ca="1" si="44"/>
        <v>-2.4098068089909246</v>
      </c>
    </row>
    <row r="83" spans="1:38" s="23" customFormat="1">
      <c r="H83" s="22"/>
      <c r="J83" s="36"/>
      <c r="K83" s="35">
        <f t="shared" si="17"/>
        <v>0</v>
      </c>
      <c r="L83" s="59" t="s">
        <v>60</v>
      </c>
      <c r="M83" s="39">
        <f>IF(D82&gt;0,_xll.BDP(I82,"BID")/100,(_xll.BDP(I82,"BID")/100)+D82)</f>
        <v>2.0000000000120616E-4</v>
      </c>
      <c r="N83" s="48"/>
      <c r="O83" s="43"/>
      <c r="P83" s="53"/>
      <c r="Q83" s="34">
        <f>Q$15+$A82</f>
        <v>-0.87025599999999992</v>
      </c>
      <c r="R83" s="34">
        <f t="shared" ref="R83:AL83" si="45">R$15+$A82</f>
        <v>-0.86958499999999994</v>
      </c>
      <c r="S83" s="34">
        <f t="shared" si="45"/>
        <v>-0.86879499999999998</v>
      </c>
      <c r="T83" s="34">
        <f t="shared" si="45"/>
        <v>-0.8679579999999999</v>
      </c>
      <c r="U83" s="34">
        <f t="shared" si="45"/>
        <v>-0.86705599999999994</v>
      </c>
      <c r="V83" s="34">
        <f t="shared" si="45"/>
        <v>-0.8658229999999999</v>
      </c>
      <c r="W83" s="34">
        <f t="shared" si="45"/>
        <v>-0.85331099999999993</v>
      </c>
      <c r="X83" s="34">
        <f t="shared" si="45"/>
        <v>-0.85032199999999991</v>
      </c>
      <c r="Y83" s="34">
        <f t="shared" si="45"/>
        <v>-0.85992099999999994</v>
      </c>
      <c r="Z83" s="34">
        <f t="shared" si="45"/>
        <v>-0.8149519999999999</v>
      </c>
      <c r="AA83" s="34">
        <f t="shared" si="45"/>
        <v>-0.76788999999999996</v>
      </c>
      <c r="AB83" s="34">
        <f t="shared" si="45"/>
        <v>-0.67674499999999993</v>
      </c>
      <c r="AC83" s="34">
        <f t="shared" si="45"/>
        <v>-0.55393099999999995</v>
      </c>
      <c r="AD83" s="34">
        <f t="shared" si="45"/>
        <v>-0.40119699999999997</v>
      </c>
      <c r="AE83" s="34">
        <f t="shared" si="45"/>
        <v>-0.25383099999999992</v>
      </c>
      <c r="AF83" s="34">
        <f t="shared" si="45"/>
        <v>-0.12211099999999997</v>
      </c>
      <c r="AG83" s="34">
        <f t="shared" si="45"/>
        <v>-2.121699999999993E-2</v>
      </c>
      <c r="AH83" s="34">
        <f t="shared" si="45"/>
        <v>2.4025000000000074E-2</v>
      </c>
      <c r="AI83" s="34">
        <f t="shared" si="45"/>
        <v>5.9229000000000087E-2</v>
      </c>
      <c r="AJ83" s="34">
        <f t="shared" si="45"/>
        <v>7.6818000000000053E-2</v>
      </c>
      <c r="AK83" s="34">
        <f t="shared" si="45"/>
        <v>9.0989000000000098E-2</v>
      </c>
      <c r="AL83" s="34">
        <f t="shared" si="45"/>
        <v>9.8685000000000023E-2</v>
      </c>
    </row>
    <row r="84" spans="1:38" s="4" customFormat="1" ht="12.75" thickBot="1">
      <c r="A84" s="19"/>
      <c r="B84" s="3"/>
      <c r="C84" s="3"/>
      <c r="D84" s="20"/>
      <c r="E84" s="20"/>
      <c r="F84" s="20"/>
      <c r="G84" s="20"/>
      <c r="J84" s="35"/>
      <c r="K84" s="35">
        <f t="shared" si="17"/>
        <v>0</v>
      </c>
      <c r="L84" s="59" t="s">
        <v>61</v>
      </c>
      <c r="M84" s="39">
        <f>IF(D82&gt;0,_xll.BDP(I82,"ASK")/100,(_xll.BDP(I82,"ASK")/100)+D82)</f>
        <v>1.6000000000012046E-3</v>
      </c>
      <c r="N84" s="50"/>
      <c r="O84" s="43"/>
      <c r="P84" s="53"/>
      <c r="Q84" s="28" t="str">
        <f>$H82&amp;$H$29&amp;"_"&amp;Q$22&amp;$P$22</f>
        <v>152C_147P</v>
      </c>
      <c r="R84" s="28" t="str">
        <f>$H82&amp;$H$29&amp;"_"&amp;R$22&amp;$P$22</f>
        <v>152C_147.5P</v>
      </c>
      <c r="S84" s="28" t="str">
        <f>$H82&amp;$H$29&amp;"_"&amp;S$22&amp;$P$22</f>
        <v>152C_148P</v>
      </c>
      <c r="T84" s="28" t="str">
        <f>$H82&amp;$H$29&amp;"_"&amp;T$22&amp;$P$22</f>
        <v>152C_148.5P</v>
      </c>
      <c r="U84" s="28" t="str">
        <f>$H82&amp;$H$29&amp;"_"&amp;U$22&amp;$P$22</f>
        <v>152C_149P</v>
      </c>
      <c r="V84" s="28" t="str">
        <f>$H82&amp;$H$29&amp;"_"&amp;V$22&amp;$P$22</f>
        <v>152C_149.5P</v>
      </c>
      <c r="W84" s="28" t="str">
        <f>$H82&amp;$H$29&amp;"_"&amp;W$22&amp;$P$22</f>
        <v>152C_150P</v>
      </c>
      <c r="X84" s="28" t="str">
        <f>$H82&amp;$H$29&amp;"_"&amp;X$22&amp;$P$22</f>
        <v>152C_150.5P</v>
      </c>
      <c r="Y84" s="28" t="str">
        <f>$H82&amp;$H$29&amp;"_"&amp;Y$22&amp;$P$22</f>
        <v>152C_151P</v>
      </c>
      <c r="Z84" s="28" t="str">
        <f>$H82&amp;$H$29&amp;"_"&amp;Z$22&amp;$P$22</f>
        <v>152C_151.5P</v>
      </c>
      <c r="AA84" s="28" t="str">
        <f>$H82&amp;$H$29&amp;"_"&amp;AA$22&amp;$P$22</f>
        <v>152C_152P</v>
      </c>
      <c r="AB84" s="28" t="str">
        <f>$H82&amp;$H$29&amp;"_"&amp;AB$22&amp;$P$22</f>
        <v>152C_152.5P</v>
      </c>
      <c r="AC84" s="28" t="str">
        <f>$H82&amp;$H$29&amp;"_"&amp;AC$22&amp;$P$22</f>
        <v>152C_153P</v>
      </c>
      <c r="AD84" s="28" t="str">
        <f>$H82&amp;$H$29&amp;"_"&amp;AD$22&amp;$P$22</f>
        <v>152C_153.5P</v>
      </c>
      <c r="AE84" s="28" t="str">
        <f>$H82&amp;$H$29&amp;"_"&amp;AE$22&amp;$P$22</f>
        <v>152C_154P</v>
      </c>
      <c r="AF84" s="28" t="str">
        <f>$H82&amp;$H$29&amp;"_"&amp;AF$22&amp;$P$22</f>
        <v>152C_154.5P</v>
      </c>
      <c r="AG84" s="28" t="str">
        <f>$H82&amp;$H$29&amp;"_"&amp;AG$22&amp;$P$22</f>
        <v>152C_155P</v>
      </c>
      <c r="AH84" s="28" t="str">
        <f>$H82&amp;$H$29&amp;"_"&amp;AH$22&amp;$P$22</f>
        <v>152C_155.5P</v>
      </c>
      <c r="AI84" s="28" t="str">
        <f>$H82&amp;$H$29&amp;"_"&amp;AI$22&amp;$P$22</f>
        <v>152C_156P</v>
      </c>
      <c r="AJ84" s="28" t="str">
        <f>$H82&amp;$H$29&amp;"_"&amp;AJ$22&amp;$P$22</f>
        <v>152C_156.5P</v>
      </c>
      <c r="AK84" s="28" t="str">
        <f>$H82&amp;$H$29&amp;"_"&amp;AK$22&amp;$P$22</f>
        <v>152C_157P</v>
      </c>
      <c r="AL84" s="28" t="str">
        <f>$H82&amp;$H$29&amp;"_"&amp;AL$22&amp;$P$22</f>
        <v>152C_157.5P</v>
      </c>
    </row>
    <row r="85" spans="1:38" s="4" customFormat="1" ht="12.75" thickTop="1">
      <c r="A85" s="19"/>
      <c r="B85" s="3"/>
      <c r="C85" s="3"/>
      <c r="D85" s="20"/>
      <c r="E85" s="20"/>
      <c r="F85" s="20"/>
      <c r="G85" s="20"/>
      <c r="J85" s="35"/>
      <c r="K85" s="35">
        <f t="shared" si="17"/>
        <v>0</v>
      </c>
      <c r="L85" s="57"/>
      <c r="M85" s="39"/>
      <c r="N85" s="48"/>
      <c r="O85" s="43"/>
      <c r="P85" s="53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</row>
    <row r="86" spans="1:38">
      <c r="A86" s="16">
        <f>_xll.BDP($I86, A$29)/-1</f>
        <v>-0.93435900000000005</v>
      </c>
      <c r="B86" s="12">
        <f>_xll.BDP($I86, B$29)/100</f>
        <v>9.0300989999999998E-2</v>
      </c>
      <c r="C86" s="6">
        <f ca="1">B86*(MIN(SQRT(1/365),(SQRT(($B$24/365)))))</f>
        <v>4.7265698399579659E-3</v>
      </c>
      <c r="D86" s="11">
        <f>(H86-$B$14)/100</f>
        <v>-2.0699999999998796E-2</v>
      </c>
      <c r="E86" s="11">
        <f t="shared" ca="1" si="19"/>
        <v>2.8464294667346977</v>
      </c>
      <c r="F86" s="11">
        <f t="shared" ca="1" si="20"/>
        <v>2.2106261259857707E-3</v>
      </c>
      <c r="G86" s="11">
        <f ca="1">IF(D86&gt;0,0,0.25*$B$26)</f>
        <v>6.9839079928285568E-5</v>
      </c>
      <c r="H86" s="4">
        <v>151.50000000000011</v>
      </c>
      <c r="I86" t="str">
        <f>($I$29&amp;" "&amp;H86&amp;" COMB Curncy")</f>
        <v>3BV5C 151.5 COMB Curncy</v>
      </c>
      <c r="J86" s="35">
        <f ca="1">-1*CGBlackScholes("t","c",B$14,H86,$B$24/365,$B$16,$B$15,B86)/100</f>
        <v>2.6517663568180835E-4</v>
      </c>
      <c r="K86" s="35">
        <f t="shared" ca="1" si="17"/>
        <v>0</v>
      </c>
      <c r="L86" s="57">
        <f ca="1">CGBlackScholes("g","c",B$14,H86,$B$24/365,$B$16,$B$15,B86)</f>
        <v>0.10088192604090483</v>
      </c>
      <c r="M86" s="39">
        <f ca="1">((M87+M88)/2)/$B$24</f>
        <v>1.1639846654742258E-4</v>
      </c>
      <c r="N86" s="48">
        <f ca="1">(MIN($J86,$M86) - $B$22*$B$23/10000*$F86)*10000</f>
        <v>0.89870953035593337</v>
      </c>
      <c r="O86" s="43" t="str">
        <f>ROUND((($M88*10000)+$B$23),0)&amp;" ticks"</f>
        <v>24 ticks</v>
      </c>
      <c r="P86" s="54">
        <f>SUM(Q85:AL85)</f>
        <v>0</v>
      </c>
      <c r="Q86" s="33" t="e">
        <f t="shared" ref="Q86:AL86" ca="1" si="46">(MIN(($J86+Q$24),($M86+Q$29))- $B$26 - (($B$22*$B$26)*MAX($F86,Q$20))-($G86+Q$21))* 10000</f>
        <v>#VALUE!</v>
      </c>
      <c r="R86" s="33" t="e">
        <f t="shared" ca="1" si="46"/>
        <v>#VALUE!</v>
      </c>
      <c r="S86" s="33" t="e">
        <f t="shared" ca="1" si="46"/>
        <v>#VALUE!</v>
      </c>
      <c r="T86" s="33" t="e">
        <f t="shared" ca="1" si="46"/>
        <v>#VALUE!</v>
      </c>
      <c r="U86" s="33" t="e">
        <f t="shared" ca="1" si="46"/>
        <v>#VALUE!</v>
      </c>
      <c r="V86" s="33" t="e">
        <f t="shared" ca="1" si="46"/>
        <v>#VALUE!</v>
      </c>
      <c r="W86" s="33" t="e">
        <f t="shared" ca="1" si="46"/>
        <v>#VALUE!</v>
      </c>
      <c r="X86" s="33" t="e">
        <f t="shared" ca="1" si="46"/>
        <v>#VALUE!</v>
      </c>
      <c r="Y86" s="33">
        <f t="shared" ca="1" si="46"/>
        <v>-1.9241307026331929</v>
      </c>
      <c r="Z86" s="33">
        <f t="shared" ca="1" si="46"/>
        <v>-1.4585368364446223</v>
      </c>
      <c r="AA86" s="33">
        <f t="shared" ca="1" si="46"/>
        <v>-1.1294236769669057</v>
      </c>
      <c r="AB86" s="33">
        <f t="shared" ca="1" si="46"/>
        <v>-0.92464766675202326</v>
      </c>
      <c r="AC86" s="33">
        <f t="shared" ca="1" si="46"/>
        <v>-2.0927207927739229</v>
      </c>
      <c r="AD86" s="33">
        <f t="shared" ca="1" si="46"/>
        <v>-7.5294858987938085</v>
      </c>
      <c r="AE86" s="33">
        <f t="shared" ca="1" si="46"/>
        <v>-3.2032106135775673</v>
      </c>
      <c r="AF86" s="33">
        <f t="shared" ca="1" si="46"/>
        <v>-1.7593400801246599</v>
      </c>
      <c r="AG86" s="33">
        <f t="shared" ca="1" si="46"/>
        <v>-1.2699830716895604</v>
      </c>
      <c r="AH86" s="33">
        <f t="shared" ca="1" si="46"/>
        <v>-1.8571095755334988</v>
      </c>
      <c r="AI86" s="33">
        <f t="shared" ca="1" si="46"/>
        <v>-2.3897245688265532</v>
      </c>
      <c r="AJ86" s="33">
        <f t="shared" ca="1" si="46"/>
        <v>-2.6225215019215029</v>
      </c>
      <c r="AK86" s="33">
        <f t="shared" ca="1" si="46"/>
        <v>-2.855318435015787</v>
      </c>
      <c r="AL86" s="33">
        <f t="shared" ca="1" si="46"/>
        <v>-2.9717169015629326</v>
      </c>
    </row>
    <row r="87" spans="1:38" s="23" customFormat="1">
      <c r="H87" s="22"/>
      <c r="J87" s="36"/>
      <c r="K87" s="35">
        <f t="shared" si="17"/>
        <v>0</v>
      </c>
      <c r="L87" s="59" t="s">
        <v>60</v>
      </c>
      <c r="M87" s="39">
        <f>IF(D86&gt;0,_xll.BDP(I86,"BID")/100,(_xll.BDP(I86,"BID")/100)+D86)</f>
        <v>-1.9999999999879836E-4</v>
      </c>
      <c r="N87" s="48"/>
      <c r="O87" s="43"/>
      <c r="P87" s="53"/>
      <c r="Q87" s="34">
        <f>Q$15+$A86</f>
        <v>-0.92433900000000002</v>
      </c>
      <c r="R87" s="34">
        <f t="shared" ref="R87:AL87" si="47">R$15+$A86</f>
        <v>-0.92366800000000004</v>
      </c>
      <c r="S87" s="34">
        <f t="shared" si="47"/>
        <v>-0.92287800000000009</v>
      </c>
      <c r="T87" s="34">
        <f t="shared" si="47"/>
        <v>-0.922041</v>
      </c>
      <c r="U87" s="34">
        <f t="shared" si="47"/>
        <v>-0.92113900000000004</v>
      </c>
      <c r="V87" s="34">
        <f t="shared" si="47"/>
        <v>-0.919906</v>
      </c>
      <c r="W87" s="34">
        <f t="shared" si="47"/>
        <v>-0.90739400000000003</v>
      </c>
      <c r="X87" s="34">
        <f t="shared" si="47"/>
        <v>-0.90440500000000001</v>
      </c>
      <c r="Y87" s="34">
        <f t="shared" si="47"/>
        <v>-0.91400400000000004</v>
      </c>
      <c r="Z87" s="34">
        <f t="shared" si="47"/>
        <v>-0.869035</v>
      </c>
      <c r="AA87" s="34">
        <f t="shared" si="47"/>
        <v>-0.82197300000000006</v>
      </c>
      <c r="AB87" s="34">
        <f t="shared" si="47"/>
        <v>-0.73082800000000003</v>
      </c>
      <c r="AC87" s="34">
        <f t="shared" si="47"/>
        <v>-0.60801400000000005</v>
      </c>
      <c r="AD87" s="34">
        <f t="shared" si="47"/>
        <v>-0.45528000000000007</v>
      </c>
      <c r="AE87" s="34">
        <f t="shared" si="47"/>
        <v>-0.30791400000000002</v>
      </c>
      <c r="AF87" s="34">
        <f t="shared" si="47"/>
        <v>-0.17619400000000007</v>
      </c>
      <c r="AG87" s="34">
        <f t="shared" si="47"/>
        <v>-7.5300000000000034E-2</v>
      </c>
      <c r="AH87" s="34">
        <f t="shared" si="47"/>
        <v>-3.0058000000000029E-2</v>
      </c>
      <c r="AI87" s="34">
        <f t="shared" si="47"/>
        <v>5.1459999999999839E-3</v>
      </c>
      <c r="AJ87" s="34">
        <f t="shared" si="47"/>
        <v>2.273499999999995E-2</v>
      </c>
      <c r="AK87" s="34">
        <f t="shared" si="47"/>
        <v>3.6905999999999994E-2</v>
      </c>
      <c r="AL87" s="34">
        <f t="shared" si="47"/>
        <v>4.4601999999999919E-2</v>
      </c>
    </row>
    <row r="88" spans="1:38" s="4" customFormat="1" ht="12.75" thickBot="1">
      <c r="A88" s="19"/>
      <c r="B88" s="3"/>
      <c r="C88" s="3"/>
      <c r="D88" s="20"/>
      <c r="E88" s="20"/>
      <c r="F88" s="20"/>
      <c r="G88" s="20"/>
      <c r="J88" s="35"/>
      <c r="K88" s="35">
        <f t="shared" si="17"/>
        <v>0</v>
      </c>
      <c r="L88" s="59" t="s">
        <v>61</v>
      </c>
      <c r="M88" s="39">
        <f>IF(D86&gt;0,_xll.BDP(I86,"ASK")/100,(_xll.BDP(I86,"ASK")/100)+D86)</f>
        <v>1.2000000000012036E-3</v>
      </c>
      <c r="N88" s="50"/>
      <c r="O88" s="43"/>
      <c r="P88" s="53"/>
      <c r="Q88" s="28" t="str">
        <f>$H86&amp;$H$29&amp;"_"&amp;Q$22&amp;$P$22</f>
        <v>151.5C_147P</v>
      </c>
      <c r="R88" s="28" t="str">
        <f>$H86&amp;$H$29&amp;"_"&amp;R$22&amp;$P$22</f>
        <v>151.5C_147.5P</v>
      </c>
      <c r="S88" s="28" t="str">
        <f>$H86&amp;$H$29&amp;"_"&amp;S$22&amp;$P$22</f>
        <v>151.5C_148P</v>
      </c>
      <c r="T88" s="28" t="str">
        <f>$H86&amp;$H$29&amp;"_"&amp;T$22&amp;$P$22</f>
        <v>151.5C_148.5P</v>
      </c>
      <c r="U88" s="28" t="str">
        <f>$H86&amp;$H$29&amp;"_"&amp;U$22&amp;$P$22</f>
        <v>151.5C_149P</v>
      </c>
      <c r="V88" s="28" t="str">
        <f>$H86&amp;$H$29&amp;"_"&amp;V$22&amp;$P$22</f>
        <v>151.5C_149.5P</v>
      </c>
      <c r="W88" s="28" t="str">
        <f>$H86&amp;$H$29&amp;"_"&amp;W$22&amp;$P$22</f>
        <v>151.5C_150P</v>
      </c>
      <c r="X88" s="28" t="str">
        <f>$H86&amp;$H$29&amp;"_"&amp;X$22&amp;$P$22</f>
        <v>151.5C_150.5P</v>
      </c>
      <c r="Y88" s="28" t="str">
        <f>$H86&amp;$H$29&amp;"_"&amp;Y$22&amp;$P$22</f>
        <v>151.5C_151P</v>
      </c>
      <c r="Z88" s="28" t="str">
        <f>$H86&amp;$H$29&amp;"_"&amp;Z$22&amp;$P$22</f>
        <v>151.5C_151.5P</v>
      </c>
      <c r="AA88" s="28" t="str">
        <f>$H86&amp;$H$29&amp;"_"&amp;AA$22&amp;$P$22</f>
        <v>151.5C_152P</v>
      </c>
      <c r="AB88" s="28" t="str">
        <f>$H86&amp;$H$29&amp;"_"&amp;AB$22&amp;$P$22</f>
        <v>151.5C_152.5P</v>
      </c>
      <c r="AC88" s="28" t="str">
        <f>$H86&amp;$H$29&amp;"_"&amp;AC$22&amp;$P$22</f>
        <v>151.5C_153P</v>
      </c>
      <c r="AD88" s="28" t="str">
        <f>$H86&amp;$H$29&amp;"_"&amp;AD$22&amp;$P$22</f>
        <v>151.5C_153.5P</v>
      </c>
      <c r="AE88" s="28" t="str">
        <f>$H86&amp;$H$29&amp;"_"&amp;AE$22&amp;$P$22</f>
        <v>151.5C_154P</v>
      </c>
      <c r="AF88" s="28" t="str">
        <f>$H86&amp;$H$29&amp;"_"&amp;AF$22&amp;$P$22</f>
        <v>151.5C_154.5P</v>
      </c>
      <c r="AG88" s="28" t="str">
        <f>$H86&amp;$H$29&amp;"_"&amp;AG$22&amp;$P$22</f>
        <v>151.5C_155P</v>
      </c>
      <c r="AH88" s="28" t="str">
        <f>$H86&amp;$H$29&amp;"_"&amp;AH$22&amp;$P$22</f>
        <v>151.5C_155.5P</v>
      </c>
      <c r="AI88" s="28" t="str">
        <f>$H86&amp;$H$29&amp;"_"&amp;AI$22&amp;$P$22</f>
        <v>151.5C_156P</v>
      </c>
      <c r="AJ88" s="28" t="str">
        <f>$H86&amp;$H$29&amp;"_"&amp;AJ$22&amp;$P$22</f>
        <v>151.5C_156.5P</v>
      </c>
      <c r="AK88" s="28" t="str">
        <f>$H86&amp;$H$29&amp;"_"&amp;AK$22&amp;$P$22</f>
        <v>151.5C_157P</v>
      </c>
      <c r="AL88" s="28" t="str">
        <f>$H86&amp;$H$29&amp;"_"&amp;AL$22&amp;$P$22</f>
        <v>151.5C_157.5P</v>
      </c>
    </row>
    <row r="89" spans="1:38" s="4" customFormat="1" ht="12.75" thickTop="1">
      <c r="A89" s="19"/>
      <c r="B89" s="3"/>
      <c r="C89" s="3"/>
      <c r="D89" s="20"/>
      <c r="E89" s="20"/>
      <c r="F89" s="20"/>
      <c r="G89" s="20"/>
      <c r="J89" s="35"/>
      <c r="K89" s="35">
        <f t="shared" si="17"/>
        <v>0</v>
      </c>
      <c r="L89" s="57"/>
      <c r="M89" s="39"/>
      <c r="N89" s="48"/>
      <c r="O89" s="43"/>
      <c r="P89" s="53"/>
      <c r="Q89" s="32"/>
      <c r="R89" s="32"/>
      <c r="S89" s="32"/>
      <c r="T89" s="32"/>
      <c r="U89" s="32"/>
      <c r="V89" s="32"/>
      <c r="W89" s="32"/>
      <c r="X89" s="25"/>
      <c r="Z89" s="32"/>
      <c r="AA89" s="32"/>
      <c r="AB89" s="31"/>
      <c r="AC89" s="32"/>
      <c r="AD89" s="32"/>
      <c r="AE89" s="32"/>
      <c r="AF89" s="32"/>
      <c r="AG89" s="32"/>
      <c r="AH89" s="32"/>
      <c r="AI89" s="32"/>
      <c r="AJ89" s="32"/>
      <c r="AK89" s="32"/>
      <c r="AL89" s="32"/>
    </row>
    <row r="90" spans="1:38">
      <c r="A90" s="16">
        <f>_xll.BDP($I90, A$29)/-1</f>
        <v>-0.97915099999999999</v>
      </c>
      <c r="B90" s="12">
        <f>_xll.BDP($I90, B$29)/100</f>
        <v>8.2860920000000005E-2</v>
      </c>
      <c r="C90" s="6">
        <f ca="1">B90*(MIN(SQRT(1/365),(SQRT(($B$24/365)))))</f>
        <v>4.3371387775833891E-3</v>
      </c>
      <c r="D90" s="11">
        <f>(H90-$B$14)/100</f>
        <v>-2.5699999999999078E-2</v>
      </c>
      <c r="E90" s="11">
        <f t="shared" ca="1" si="19"/>
        <v>3.5339728161876023</v>
      </c>
      <c r="F90" s="11">
        <f t="shared" ca="1" si="20"/>
        <v>2.0468158945086135E-4</v>
      </c>
      <c r="G90" s="11">
        <f ca="1">IF(D90&gt;0,0,0.25*$B$26)</f>
        <v>6.9839079928285568E-5</v>
      </c>
      <c r="H90" s="4">
        <v>151.00000000000009</v>
      </c>
      <c r="I90" t="str">
        <f>($I$29&amp;" "&amp;H90&amp;" COMB Curncy")</f>
        <v>3BV5C 151 COMB Curncy</v>
      </c>
      <c r="J90" s="35">
        <f ca="1">-1*CGBlackScholes("t","c",B$14,H90,$B$24/365,$B$16,$B$15,B90)/100</f>
        <v>1.0837083787606013E-4</v>
      </c>
      <c r="K90" s="35">
        <f t="shared" ca="1" si="17"/>
        <v>0</v>
      </c>
      <c r="L90" s="57">
        <f ca="1">CGBlackScholes("g","c",B$14,H90,$B$24/365,$B$16,$B$15,B90)</f>
        <v>4.9175951056025402E-2</v>
      </c>
      <c r="M90" s="39">
        <f ca="1">((M91+M92)/2)/$B$24</f>
        <v>4.6559386619071202E-5</v>
      </c>
      <c r="N90" s="48">
        <f ca="1">(MIN($J90,$M90) - $B$22*$B$23/10000*$F90)*10000</f>
        <v>0.44103207545660866</v>
      </c>
      <c r="O90" s="43" t="str">
        <f>ROUND((($M92*10000)+$B$23),0)&amp;" ticks"</f>
        <v>22 ticks</v>
      </c>
      <c r="P90" s="54">
        <f>SUM(Q89:AL89)</f>
        <v>0</v>
      </c>
      <c r="Q90" s="33" t="e">
        <f t="shared" ref="Q90:AL90" ca="1" si="48">(MIN(($J90+Q$24),($M90+Q$29))- $B$26 - (($B$22*$B$26)*MAX($F90,Q$20))-($G90+Q$21))* 10000</f>
        <v>#VALUE!</v>
      </c>
      <c r="R90" s="33" t="e">
        <f t="shared" ca="1" si="48"/>
        <v>#VALUE!</v>
      </c>
      <c r="S90" s="33" t="e">
        <f t="shared" ca="1" si="48"/>
        <v>#VALUE!</v>
      </c>
      <c r="T90" s="33" t="e">
        <f t="shared" ca="1" si="48"/>
        <v>#VALUE!</v>
      </c>
      <c r="U90" s="33" t="e">
        <f t="shared" ca="1" si="48"/>
        <v>#VALUE!</v>
      </c>
      <c r="V90" s="33" t="e">
        <f t="shared" ca="1" si="48"/>
        <v>#VALUE!</v>
      </c>
      <c r="W90" s="33" t="e">
        <f t="shared" ca="1" si="48"/>
        <v>#VALUE!</v>
      </c>
      <c r="X90" s="33" t="e">
        <f t="shared" ca="1" si="48"/>
        <v>#VALUE!</v>
      </c>
      <c r="Y90" s="33">
        <f t="shared" ca="1" si="48"/>
        <v>-2.566484173589199</v>
      </c>
      <c r="Z90" s="33">
        <f t="shared" ca="1" si="48"/>
        <v>-2.156927635728136</v>
      </c>
      <c r="AA90" s="33">
        <f t="shared" ca="1" si="48"/>
        <v>-1.8278144762504194</v>
      </c>
      <c r="AB90" s="33">
        <f t="shared" ca="1" si="48"/>
        <v>-1.6230384660355373</v>
      </c>
      <c r="AC90" s="33">
        <f t="shared" ca="1" si="48"/>
        <v>-2.7911115920574372</v>
      </c>
      <c r="AD90" s="33">
        <f t="shared" ca="1" si="48"/>
        <v>-9.0975438768512902</v>
      </c>
      <c r="AE90" s="33">
        <f t="shared" ca="1" si="48"/>
        <v>-4.7003415403126274</v>
      </c>
      <c r="AF90" s="33">
        <f t="shared" ca="1" si="48"/>
        <v>-2.4577308794081731</v>
      </c>
      <c r="AG90" s="33">
        <f t="shared" ca="1" si="48"/>
        <v>-1.9683738709730745</v>
      </c>
      <c r="AH90" s="33">
        <f t="shared" ca="1" si="48"/>
        <v>-2.5555003748170129</v>
      </c>
      <c r="AI90" s="33">
        <f t="shared" ca="1" si="48"/>
        <v>-3.0380007432729914</v>
      </c>
      <c r="AJ90" s="33">
        <f t="shared" ca="1" si="48"/>
        <v>-3.2648749728775091</v>
      </c>
      <c r="AK90" s="33">
        <f t="shared" ca="1" si="48"/>
        <v>-3.4976719059717927</v>
      </c>
      <c r="AL90" s="33">
        <f t="shared" ca="1" si="48"/>
        <v>-3.6140703725189391</v>
      </c>
    </row>
    <row r="91" spans="1:38" s="23" customFormat="1">
      <c r="H91" s="22"/>
      <c r="J91" s="36"/>
      <c r="K91" s="35">
        <f t="shared" si="17"/>
        <v>0</v>
      </c>
      <c r="L91" s="59" t="s">
        <v>60</v>
      </c>
      <c r="M91" s="39">
        <f>IF(D90&gt;0,_xll.BDP(I90,"BID")/100,(_xll.BDP(I90,"BID")/100)+D90)</f>
        <v>-5.9999999999908044E-4</v>
      </c>
      <c r="N91" s="48"/>
      <c r="O91" s="43"/>
      <c r="P91" s="53"/>
      <c r="Q91" s="34">
        <f>Q$15+$A90</f>
        <v>-0.96913099999999996</v>
      </c>
      <c r="R91" s="34">
        <f t="shared" ref="R91:AL91" si="49">R$15+$A90</f>
        <v>-0.96845999999999999</v>
      </c>
      <c r="S91" s="34">
        <f t="shared" si="49"/>
        <v>-0.96767000000000003</v>
      </c>
      <c r="T91" s="34">
        <f t="shared" si="49"/>
        <v>-0.96683299999999994</v>
      </c>
      <c r="U91" s="34">
        <f t="shared" si="49"/>
        <v>-0.96593099999999998</v>
      </c>
      <c r="V91" s="34">
        <f t="shared" si="49"/>
        <v>-0.96469799999999994</v>
      </c>
      <c r="W91" s="34">
        <f t="shared" si="49"/>
        <v>-0.95218599999999998</v>
      </c>
      <c r="X91" s="34">
        <f t="shared" si="49"/>
        <v>-0.94919699999999996</v>
      </c>
      <c r="Y91" s="34">
        <f t="shared" si="49"/>
        <v>-0.95879599999999998</v>
      </c>
      <c r="Z91" s="34">
        <f t="shared" si="49"/>
        <v>-0.91382699999999994</v>
      </c>
      <c r="AA91" s="34">
        <f t="shared" si="49"/>
        <v>-0.86676500000000001</v>
      </c>
      <c r="AB91" s="34">
        <f t="shared" si="49"/>
        <v>-0.77561999999999998</v>
      </c>
      <c r="AC91" s="34">
        <f t="shared" si="49"/>
        <v>-0.652806</v>
      </c>
      <c r="AD91" s="34">
        <f t="shared" si="49"/>
        <v>-0.50007200000000007</v>
      </c>
      <c r="AE91" s="34">
        <f t="shared" si="49"/>
        <v>-0.35270599999999996</v>
      </c>
      <c r="AF91" s="34">
        <f t="shared" si="49"/>
        <v>-0.22098600000000002</v>
      </c>
      <c r="AG91" s="34">
        <f t="shared" si="49"/>
        <v>-0.12009199999999998</v>
      </c>
      <c r="AH91" s="34">
        <f t="shared" si="49"/>
        <v>-7.4849999999999972E-2</v>
      </c>
      <c r="AI91" s="34">
        <f t="shared" si="49"/>
        <v>-3.9645999999999959E-2</v>
      </c>
      <c r="AJ91" s="34">
        <f t="shared" si="49"/>
        <v>-2.2056999999999993E-2</v>
      </c>
      <c r="AK91" s="34">
        <f t="shared" si="49"/>
        <v>-7.8859999999999486E-3</v>
      </c>
      <c r="AL91" s="34">
        <f t="shared" si="49"/>
        <v>-1.9000000000002348E-4</v>
      </c>
    </row>
    <row r="92" spans="1:38" s="4" customFormat="1" ht="12.75" thickBot="1">
      <c r="A92" s="19"/>
      <c r="B92" s="3"/>
      <c r="C92" s="3"/>
      <c r="D92" s="20"/>
      <c r="E92" s="20"/>
      <c r="F92" s="20"/>
      <c r="G92" s="20"/>
      <c r="J92" s="35"/>
      <c r="K92" s="35">
        <f t="shared" si="17"/>
        <v>0</v>
      </c>
      <c r="L92" s="59" t="s">
        <v>61</v>
      </c>
      <c r="M92" s="39">
        <f>IF(D90&gt;0,_xll.BDP(I90,"ASK")/100,(_xll.BDP(I90,"ASK")/100)+D90)</f>
        <v>1.0000000000009203E-3</v>
      </c>
      <c r="N92" s="50"/>
      <c r="O92" s="43"/>
      <c r="P92" s="53"/>
      <c r="Q92" s="28" t="str">
        <f>$H90&amp;$H$29&amp;"_"&amp;Q$22&amp;$P$22</f>
        <v>151C_147P</v>
      </c>
      <c r="R92" s="28" t="str">
        <f>$H90&amp;$H$29&amp;"_"&amp;R$22&amp;$P$22</f>
        <v>151C_147.5P</v>
      </c>
      <c r="S92" s="28" t="str">
        <f>$H90&amp;$H$29&amp;"_"&amp;S$22&amp;$P$22</f>
        <v>151C_148P</v>
      </c>
      <c r="T92" s="28" t="str">
        <f>$H90&amp;$H$29&amp;"_"&amp;T$22&amp;$P$22</f>
        <v>151C_148.5P</v>
      </c>
      <c r="U92" s="28" t="str">
        <f>$H90&amp;$H$29&amp;"_"&amp;U$22&amp;$P$22</f>
        <v>151C_149P</v>
      </c>
      <c r="V92" s="28" t="str">
        <f>$H90&amp;$H$29&amp;"_"&amp;V$22&amp;$P$22</f>
        <v>151C_149.5P</v>
      </c>
      <c r="W92" s="28" t="str">
        <f>$H90&amp;$H$29&amp;"_"&amp;W$22&amp;$P$22</f>
        <v>151C_150P</v>
      </c>
      <c r="X92" s="28" t="str">
        <f>$H90&amp;$H$29&amp;"_"&amp;X$22&amp;$P$22</f>
        <v>151C_150.5P</v>
      </c>
      <c r="Y92" s="28" t="str">
        <f>$H90&amp;$H$29&amp;"_"&amp;Y$22&amp;$P$22</f>
        <v>151C_151P</v>
      </c>
      <c r="Z92" s="28" t="str">
        <f>$H90&amp;$H$29&amp;"_"&amp;Z$22&amp;$P$22</f>
        <v>151C_151.5P</v>
      </c>
      <c r="AA92" s="28" t="str">
        <f>$H90&amp;$H$29&amp;"_"&amp;AA$22&amp;$P$22</f>
        <v>151C_152P</v>
      </c>
      <c r="AB92" s="28" t="str">
        <f>$H90&amp;$H$29&amp;"_"&amp;AB$22&amp;$P$22</f>
        <v>151C_152.5P</v>
      </c>
      <c r="AC92" s="28" t="str">
        <f>$H90&amp;$H$29&amp;"_"&amp;AC$22&amp;$P$22</f>
        <v>151C_153P</v>
      </c>
      <c r="AD92" s="28" t="str">
        <f>$H90&amp;$H$29&amp;"_"&amp;AD$22&amp;$P$22</f>
        <v>151C_153.5P</v>
      </c>
      <c r="AE92" s="28" t="str">
        <f>$H90&amp;$H$29&amp;"_"&amp;AE$22&amp;$P$22</f>
        <v>151C_154P</v>
      </c>
      <c r="AF92" s="28" t="str">
        <f>$H90&amp;$H$29&amp;"_"&amp;AF$22&amp;$P$22</f>
        <v>151C_154.5P</v>
      </c>
      <c r="AG92" s="28" t="str">
        <f>$H90&amp;$H$29&amp;"_"&amp;AG$22&amp;$P$22</f>
        <v>151C_155P</v>
      </c>
      <c r="AH92" s="28" t="str">
        <f>$H90&amp;$H$29&amp;"_"&amp;AH$22&amp;$P$22</f>
        <v>151C_155.5P</v>
      </c>
      <c r="AI92" s="28" t="str">
        <f>$H90&amp;$H$29&amp;"_"&amp;AI$22&amp;$P$22</f>
        <v>151C_156P</v>
      </c>
      <c r="AJ92" s="28" t="str">
        <f>$H90&amp;$H$29&amp;"_"&amp;AJ$22&amp;$P$22</f>
        <v>151C_156.5P</v>
      </c>
      <c r="AK92" s="28" t="str">
        <f>$H90&amp;$H$29&amp;"_"&amp;AK$22&amp;$P$22</f>
        <v>151C_157P</v>
      </c>
      <c r="AL92" s="28" t="str">
        <f>$H90&amp;$H$29&amp;"_"&amp;AL$22&amp;$P$22</f>
        <v>151C_157.5P</v>
      </c>
    </row>
    <row r="93" spans="1:38" s="4" customFormat="1" ht="12.75" thickTop="1">
      <c r="A93" s="19"/>
      <c r="B93" s="3"/>
      <c r="C93" s="3"/>
      <c r="D93" s="20"/>
      <c r="E93" s="20"/>
      <c r="F93" s="20"/>
      <c r="G93" s="20"/>
      <c r="J93" s="35"/>
      <c r="K93" s="35">
        <f t="shared" si="17"/>
        <v>0</v>
      </c>
      <c r="L93" s="57"/>
      <c r="M93" s="39"/>
      <c r="N93" s="48"/>
      <c r="O93" s="43"/>
      <c r="P93" s="53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</row>
    <row r="94" spans="1:38">
      <c r="A94" s="16">
        <f>_xll.BDP($I94, A$29)/-1</f>
        <v>-0.999892</v>
      </c>
      <c r="B94" s="12">
        <f>_xll.BDP($I94, B$29)/100</f>
        <v>5.1582049999999997E-2</v>
      </c>
      <c r="C94" s="6">
        <f ca="1">B94*(MIN(SQRT(1/365),(SQRT(($B$24/365)))))</f>
        <v>2.699927894624453E-3</v>
      </c>
      <c r="D94" s="11">
        <f>(H94-$B$14)/100</f>
        <v>-3.0699999999999079E-2</v>
      </c>
      <c r="E94" s="11">
        <f t="shared" ca="1" si="19"/>
        <v>4.2215161656404678</v>
      </c>
      <c r="F94" s="11">
        <f t="shared" ca="1" si="20"/>
        <v>1.2133227407562508E-5</v>
      </c>
      <c r="G94" s="11">
        <f ca="1">IF(D94&gt;0,0,0.25*$B$26)</f>
        <v>6.9839079928285568E-5</v>
      </c>
      <c r="H94" s="4">
        <v>150.50000000000009</v>
      </c>
      <c r="I94" t="str">
        <f>($I$29&amp;" "&amp;H94&amp;" COMB Curncy")</f>
        <v>3BV5C 150.5 COMB Curncy</v>
      </c>
      <c r="J94" s="35">
        <f ca="1">-1*CGBlackScholes("t","c",B$14,H94,$B$24/365,$B$16,$B$15,B94)/100</f>
        <v>-2.5378042215580153E-7</v>
      </c>
      <c r="K94" s="35">
        <f t="shared" ca="1" si="17"/>
        <v>0</v>
      </c>
      <c r="L94" s="57">
        <f ca="1">CGBlackScholes("g","c",B$14,H94,$B$24/365,$B$16,$B$15,B94)</f>
        <v>6.8315247147915999E-4</v>
      </c>
      <c r="M94" s="39">
        <f ca="1">((M95+M96)/2)/$B$24</f>
        <v>2.3279693309643225E-5</v>
      </c>
      <c r="N94" s="48">
        <f ca="1">(MIN($J94,$M94) - $B$22*$B$23/10000*$F94)*10000</f>
        <v>-3.9937915104655162E-3</v>
      </c>
      <c r="O94" s="43" t="str">
        <f>ROUND((($M96*10000)+$B$23),0)&amp;" ticks"</f>
        <v>21 ticks</v>
      </c>
      <c r="P94" s="54">
        <f>SUM(Q93:AL93)</f>
        <v>0</v>
      </c>
      <c r="Q94" s="33" t="e">
        <f t="shared" ref="Q94:AL94" ca="1" si="50">(MIN(($J94+Q$24),($M94+Q$29))- $B$26 - (($B$22*$B$26)*MAX($F94,Q$20))-($G94+Q$21))* 10000</f>
        <v>#VALUE!</v>
      </c>
      <c r="R94" s="33" t="e">
        <f t="shared" ca="1" si="50"/>
        <v>#VALUE!</v>
      </c>
      <c r="S94" s="33" t="e">
        <f t="shared" ca="1" si="50"/>
        <v>#VALUE!</v>
      </c>
      <c r="T94" s="33" t="e">
        <f t="shared" ca="1" si="50"/>
        <v>#VALUE!</v>
      </c>
      <c r="U94" s="33" t="e">
        <f t="shared" ca="1" si="50"/>
        <v>#VALUE!</v>
      </c>
      <c r="V94" s="33" t="e">
        <f t="shared" ca="1" si="50"/>
        <v>#VALUE!</v>
      </c>
      <c r="W94" s="33" t="e">
        <f t="shared" ca="1" si="50"/>
        <v>#VALUE!</v>
      </c>
      <c r="X94" s="33" t="e">
        <f t="shared" ca="1" si="50"/>
        <v>#VALUE!</v>
      </c>
      <c r="Y94" s="33">
        <f t="shared" ca="1" si="50"/>
        <v>-2.7992811066834791</v>
      </c>
      <c r="Z94" s="33">
        <f t="shared" ca="1" si="50"/>
        <v>-2.389724568822416</v>
      </c>
      <c r="AA94" s="33">
        <f t="shared" ca="1" si="50"/>
        <v>-2.0606114093446992</v>
      </c>
      <c r="AB94" s="33">
        <f t="shared" ca="1" si="50"/>
        <v>-1.8558353991298169</v>
      </c>
      <c r="AC94" s="33">
        <f t="shared" ca="1" si="50"/>
        <v>-3.7764172612648212</v>
      </c>
      <c r="AD94" s="33">
        <f t="shared" ca="1" si="50"/>
        <v>-10.183790059833449</v>
      </c>
      <c r="AE94" s="33">
        <f t="shared" ca="1" si="50"/>
        <v>-5.7865877232947867</v>
      </c>
      <c r="AF94" s="33">
        <f t="shared" ca="1" si="50"/>
        <v>-2.6905278125024532</v>
      </c>
      <c r="AG94" s="33">
        <f t="shared" ca="1" si="50"/>
        <v>-2.2011708040673539</v>
      </c>
      <c r="AH94" s="33">
        <f t="shared" ca="1" si="50"/>
        <v>-2.7882973079112925</v>
      </c>
      <c r="AI94" s="33">
        <f t="shared" ca="1" si="50"/>
        <v>-3.2707976763672715</v>
      </c>
      <c r="AJ94" s="33">
        <f t="shared" ca="1" si="50"/>
        <v>-3.4927363848956268</v>
      </c>
      <c r="AK94" s="33">
        <f t="shared" ca="1" si="50"/>
        <v>-3.7250898788873519</v>
      </c>
      <c r="AL94" s="33">
        <f t="shared" ca="1" si="50"/>
        <v>-3.8414883454344975</v>
      </c>
    </row>
    <row r="95" spans="1:38" s="23" customFormat="1">
      <c r="H95" s="22"/>
      <c r="J95" s="36"/>
      <c r="K95" s="35">
        <f t="shared" si="17"/>
        <v>0</v>
      </c>
      <c r="L95" s="59" t="s">
        <v>60</v>
      </c>
      <c r="M95" s="39">
        <f>IF(D94&gt;0,_xll.BDP(I94,"BID")/100,(_xll.BDP(I94,"BID")/100)+D94)</f>
        <v>-6.9999999999907983E-4</v>
      </c>
      <c r="N95" s="48"/>
      <c r="O95" s="43"/>
      <c r="P95" s="53"/>
      <c r="Q95" s="34">
        <f>Q$15+$A94</f>
        <v>-0.98987199999999997</v>
      </c>
      <c r="R95" s="34">
        <f t="shared" ref="R95:AL95" si="51">R$15+$A94</f>
        <v>-0.989201</v>
      </c>
      <c r="S95" s="34">
        <f t="shared" si="51"/>
        <v>-0.98841100000000004</v>
      </c>
      <c r="T95" s="34">
        <f t="shared" si="51"/>
        <v>-0.98757399999999995</v>
      </c>
      <c r="U95" s="34">
        <f t="shared" si="51"/>
        <v>-0.98667199999999999</v>
      </c>
      <c r="V95" s="34">
        <f t="shared" si="51"/>
        <v>-0.98543899999999995</v>
      </c>
      <c r="W95" s="34">
        <f t="shared" si="51"/>
        <v>-0.97292699999999999</v>
      </c>
      <c r="X95" s="34">
        <f t="shared" si="51"/>
        <v>-0.96993799999999997</v>
      </c>
      <c r="Y95" s="34">
        <f t="shared" si="51"/>
        <v>-0.97953699999999999</v>
      </c>
      <c r="Z95" s="34">
        <f t="shared" si="51"/>
        <v>-0.93456800000000007</v>
      </c>
      <c r="AA95" s="34">
        <f t="shared" si="51"/>
        <v>-0.88750600000000002</v>
      </c>
      <c r="AB95" s="34">
        <f t="shared" si="51"/>
        <v>-0.79636099999999999</v>
      </c>
      <c r="AC95" s="34">
        <f t="shared" si="51"/>
        <v>-0.67354700000000001</v>
      </c>
      <c r="AD95" s="34">
        <f t="shared" si="51"/>
        <v>-0.52081299999999997</v>
      </c>
      <c r="AE95" s="34">
        <f t="shared" si="51"/>
        <v>-0.37344699999999997</v>
      </c>
      <c r="AF95" s="34">
        <f t="shared" si="51"/>
        <v>-0.24172700000000003</v>
      </c>
      <c r="AG95" s="34">
        <f t="shared" si="51"/>
        <v>-0.14083299999999999</v>
      </c>
      <c r="AH95" s="34">
        <f t="shared" si="51"/>
        <v>-9.5590999999999982E-2</v>
      </c>
      <c r="AI95" s="34">
        <f t="shared" si="51"/>
        <v>-6.0386999999999968E-2</v>
      </c>
      <c r="AJ95" s="34">
        <f t="shared" si="51"/>
        <v>-4.2798000000000003E-2</v>
      </c>
      <c r="AK95" s="34">
        <f t="shared" si="51"/>
        <v>-2.8626999999999958E-2</v>
      </c>
      <c r="AL95" s="34">
        <f t="shared" si="51"/>
        <v>-2.0931000000000033E-2</v>
      </c>
    </row>
    <row r="96" spans="1:38" s="4" customFormat="1" ht="12.75" thickBot="1">
      <c r="A96" s="19"/>
      <c r="B96" s="3"/>
      <c r="C96" s="3"/>
      <c r="D96" s="20"/>
      <c r="E96" s="20"/>
      <c r="F96" s="20"/>
      <c r="G96" s="20"/>
      <c r="J96" s="35"/>
      <c r="K96" s="35">
        <f t="shared" si="17"/>
        <v>0</v>
      </c>
      <c r="L96" s="59" t="s">
        <v>61</v>
      </c>
      <c r="M96" s="39">
        <f>IF(D94&gt;0,_xll.BDP(I94,"ASK")/100,(_xll.BDP(I94,"ASK")/100)+D94)</f>
        <v>9.0000000000092437E-4</v>
      </c>
      <c r="N96" s="50"/>
      <c r="O96" s="43"/>
      <c r="P96" s="53"/>
      <c r="Q96" s="28" t="str">
        <f>$H94&amp;$H$29&amp;"_"&amp;Q$22&amp;$P$22</f>
        <v>150.5C_147P</v>
      </c>
      <c r="R96" s="28" t="str">
        <f>$H94&amp;$H$29&amp;"_"&amp;R$22&amp;$P$22</f>
        <v>150.5C_147.5P</v>
      </c>
      <c r="S96" s="28" t="str">
        <f>$H94&amp;$H$29&amp;"_"&amp;S$22&amp;$P$22</f>
        <v>150.5C_148P</v>
      </c>
      <c r="T96" s="28" t="str">
        <f>$H94&amp;$H$29&amp;"_"&amp;T$22&amp;$P$22</f>
        <v>150.5C_148.5P</v>
      </c>
      <c r="U96" s="28" t="str">
        <f>$H94&amp;$H$29&amp;"_"&amp;U$22&amp;$P$22</f>
        <v>150.5C_149P</v>
      </c>
      <c r="V96" s="28" t="str">
        <f>$H94&amp;$H$29&amp;"_"&amp;V$22&amp;$P$22</f>
        <v>150.5C_149.5P</v>
      </c>
      <c r="W96" s="28" t="str">
        <f>$H94&amp;$H$29&amp;"_"&amp;W$22&amp;$P$22</f>
        <v>150.5C_150P</v>
      </c>
      <c r="X96" s="28" t="str">
        <f>$H94&amp;$H$29&amp;"_"&amp;X$22&amp;$P$22</f>
        <v>150.5C_150.5P</v>
      </c>
      <c r="Y96" s="28" t="str">
        <f>$H94&amp;$H$29&amp;"_"&amp;Y$22&amp;$P$22</f>
        <v>150.5C_151P</v>
      </c>
      <c r="Z96" s="28" t="str">
        <f>$H94&amp;$H$29&amp;"_"&amp;Z$22&amp;$P$22</f>
        <v>150.5C_151.5P</v>
      </c>
      <c r="AA96" s="28" t="str">
        <f>$H94&amp;$H$29&amp;"_"&amp;AA$22&amp;$P$22</f>
        <v>150.5C_152P</v>
      </c>
      <c r="AB96" s="28" t="str">
        <f>$H94&amp;$H$29&amp;"_"&amp;AB$22&amp;$P$22</f>
        <v>150.5C_152.5P</v>
      </c>
      <c r="AC96" s="28" t="str">
        <f>$H94&amp;$H$29&amp;"_"&amp;AC$22&amp;$P$22</f>
        <v>150.5C_153P</v>
      </c>
      <c r="AD96" s="28" t="str">
        <f>$H94&amp;$H$29&amp;"_"&amp;AD$22&amp;$P$22</f>
        <v>150.5C_153.5P</v>
      </c>
      <c r="AE96" s="28" t="str">
        <f>$H94&amp;$H$29&amp;"_"&amp;AE$22&amp;$P$22</f>
        <v>150.5C_154P</v>
      </c>
      <c r="AF96" s="28" t="str">
        <f>$H94&amp;$H$29&amp;"_"&amp;AF$22&amp;$P$22</f>
        <v>150.5C_154.5P</v>
      </c>
      <c r="AG96" s="28" t="str">
        <f>$H94&amp;$H$29&amp;"_"&amp;AG$22&amp;$P$22</f>
        <v>150.5C_155P</v>
      </c>
      <c r="AH96" s="28" t="str">
        <f>$H94&amp;$H$29&amp;"_"&amp;AH$22&amp;$P$22</f>
        <v>150.5C_155.5P</v>
      </c>
      <c r="AI96" s="28" t="str">
        <f>$H94&amp;$H$29&amp;"_"&amp;AI$22&amp;$P$22</f>
        <v>150.5C_156P</v>
      </c>
      <c r="AJ96" s="28" t="str">
        <f>$H94&amp;$H$29&amp;"_"&amp;AJ$22&amp;$P$22</f>
        <v>150.5C_156.5P</v>
      </c>
      <c r="AK96" s="28" t="str">
        <f>$H94&amp;$H$29&amp;"_"&amp;AK$22&amp;$P$22</f>
        <v>150.5C_157P</v>
      </c>
      <c r="AL96" s="28" t="str">
        <f>$H94&amp;$H$29&amp;"_"&amp;AL$22&amp;$P$22</f>
        <v>150.5C_157.5P</v>
      </c>
    </row>
    <row r="97" spans="1:38" s="4" customFormat="1" ht="12.75" thickTop="1">
      <c r="A97" s="19"/>
      <c r="B97" s="3"/>
      <c r="C97" s="3"/>
      <c r="D97" s="20"/>
      <c r="E97" s="20"/>
      <c r="F97" s="20"/>
      <c r="G97" s="20"/>
      <c r="J97" s="35"/>
      <c r="K97" s="35">
        <f t="shared" si="17"/>
        <v>0</v>
      </c>
      <c r="L97" s="57"/>
      <c r="M97" s="39"/>
      <c r="N97" s="48"/>
      <c r="O97" s="43"/>
      <c r="P97" s="53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</row>
    <row r="98" spans="1:38">
      <c r="A98" s="16">
        <f>_xll.BDP($I98, A$29)/-1</f>
        <v>-1</v>
      </c>
      <c r="B98" s="12">
        <f>_xll.BDP($I98, B$29)/100</f>
        <v>0.10924092000000001</v>
      </c>
      <c r="C98" s="6">
        <f ca="1">B98*(MIN(SQRT(1/365),(SQRT(($B$24/365)))))</f>
        <v>5.7179310853763725E-3</v>
      </c>
      <c r="D98" s="11">
        <f>(H98-$B$14)/100</f>
        <v>-3.5699999999999364E-2</v>
      </c>
      <c r="E98" s="11">
        <f t="shared" ca="1" si="19"/>
        <v>4.9090595150933725</v>
      </c>
      <c r="F98" s="11">
        <f t="shared" ca="1" si="20"/>
        <v>4.5757102429266894E-7</v>
      </c>
      <c r="G98" s="11">
        <f ca="1">IF(D98&gt;0,0,0.25*$B$26)</f>
        <v>6.9839079928285568E-5</v>
      </c>
      <c r="H98" s="4">
        <v>150.00000000000006</v>
      </c>
      <c r="I98" t="str">
        <f>($I$29&amp;" "&amp;H98&amp;" COMB Curncy")</f>
        <v>3BV5C 150 COMB Curncy</v>
      </c>
      <c r="J98" s="35">
        <f ca="1">-1*CGBlackScholes("t","c",B$14,H98,$B$24/365,$B$16,$B$15,B98)/100</f>
        <v>1.155217959303745E-4</v>
      </c>
      <c r="K98" s="35">
        <f t="shared" ca="1" si="17"/>
        <v>0</v>
      </c>
      <c r="L98" s="57">
        <f ca="1">CGBlackScholes("g","c",B$14,H98,$B$24/365,$B$16,$B$15,B98)</f>
        <v>3.0219041080407454E-2</v>
      </c>
      <c r="M98" s="39">
        <f ca="1">((M99+M100)/2)/$B$24</f>
        <v>1.1639846654862401E-5</v>
      </c>
      <c r="N98" s="48">
        <f ca="1">(MIN($J98,$M98) - $B$22*$B$23/10000*$F98)*10000</f>
        <v>0.11634355802570889</v>
      </c>
      <c r="O98" s="43" t="str">
        <f>ROUND((($M100*10000)+$B$23),0)&amp;" ticks"</f>
        <v>21 ticks</v>
      </c>
      <c r="P98" s="54">
        <f>SUM(Q97:AL97)</f>
        <v>0</v>
      </c>
      <c r="Q98" s="33" t="e">
        <f t="shared" ref="Q98:AL98" ca="1" si="52">(MIN(($J98+Q$24),($M98+Q$29))- $B$26 - (($B$22*$B$26)*MAX($F98,Q$20))-($G98+Q$21))* 10000</f>
        <v>#VALUE!</v>
      </c>
      <c r="R98" s="33" t="e">
        <f t="shared" ca="1" si="52"/>
        <v>#VALUE!</v>
      </c>
      <c r="S98" s="33" t="e">
        <f t="shared" ca="1" si="52"/>
        <v>#VALUE!</v>
      </c>
      <c r="T98" s="33" t="e">
        <f t="shared" ca="1" si="52"/>
        <v>#VALUE!</v>
      </c>
      <c r="U98" s="33" t="e">
        <f t="shared" ca="1" si="52"/>
        <v>#VALUE!</v>
      </c>
      <c r="V98" s="33" t="e">
        <f t="shared" ca="1" si="52"/>
        <v>#VALUE!</v>
      </c>
      <c r="W98" s="33" t="e">
        <f t="shared" ca="1" si="52"/>
        <v>#VALUE!</v>
      </c>
      <c r="X98" s="33" t="e">
        <f t="shared" ca="1" si="52"/>
        <v>#VALUE!</v>
      </c>
      <c r="Y98" s="33">
        <f t="shared" ca="1" si="52"/>
        <v>-2.9156795732312872</v>
      </c>
      <c r="Z98" s="33">
        <f t="shared" ca="1" si="52"/>
        <v>-2.5061230353702242</v>
      </c>
      <c r="AA98" s="33">
        <f t="shared" ca="1" si="52"/>
        <v>-2.1770098758925074</v>
      </c>
      <c r="AB98" s="33">
        <f t="shared" ca="1" si="52"/>
        <v>-1.972233865677625</v>
      </c>
      <c r="AC98" s="33">
        <f t="shared" ca="1" si="52"/>
        <v>-3.1403069916995259</v>
      </c>
      <c r="AD98" s="33">
        <f t="shared" ca="1" si="52"/>
        <v>-9.026034296308147</v>
      </c>
      <c r="AE98" s="33">
        <f t="shared" ca="1" si="52"/>
        <v>-4.6288319597694834</v>
      </c>
      <c r="AF98" s="33">
        <f t="shared" ca="1" si="52"/>
        <v>-2.8069262790502614</v>
      </c>
      <c r="AG98" s="33">
        <f t="shared" ca="1" si="52"/>
        <v>-2.317569270615162</v>
      </c>
      <c r="AH98" s="33">
        <f t="shared" ca="1" si="52"/>
        <v>-2.9046957744591007</v>
      </c>
      <c r="AI98" s="33">
        <f t="shared" ca="1" si="52"/>
        <v>-3.3871961429150796</v>
      </c>
      <c r="AJ98" s="33">
        <f t="shared" ca="1" si="52"/>
        <v>-3.6091348514434349</v>
      </c>
      <c r="AK98" s="33">
        <f t="shared" ca="1" si="52"/>
        <v>-3.8411829021304138</v>
      </c>
      <c r="AL98" s="33">
        <f t="shared" ca="1" si="52"/>
        <v>-3.9575606451425589</v>
      </c>
    </row>
    <row r="99" spans="1:38" s="23" customFormat="1">
      <c r="H99" s="22"/>
      <c r="J99" s="36"/>
      <c r="K99" s="35">
        <f t="shared" ref="K99:K124" si="53">J99*P99</f>
        <v>0</v>
      </c>
      <c r="L99" s="59" t="s">
        <v>60</v>
      </c>
      <c r="M99" s="39">
        <f>IF(D98&gt;0,_xll.BDP(I98,"BID")/100,(_xll.BDP(I98,"BID")/100)+D98)</f>
        <v>-7.9999999999936372E-4</v>
      </c>
      <c r="N99" s="48"/>
      <c r="O99" s="43"/>
      <c r="P99" s="53"/>
      <c r="Q99" s="34">
        <f>Q$15+$A98</f>
        <v>-0.98997999999999997</v>
      </c>
      <c r="R99" s="34">
        <f t="shared" ref="R99:AL99" si="54">R$15+$A98</f>
        <v>-0.98930899999999999</v>
      </c>
      <c r="S99" s="34">
        <f t="shared" si="54"/>
        <v>-0.98851900000000004</v>
      </c>
      <c r="T99" s="34">
        <f t="shared" si="54"/>
        <v>-0.98768199999999995</v>
      </c>
      <c r="U99" s="34">
        <f t="shared" si="54"/>
        <v>-0.98677999999999999</v>
      </c>
      <c r="V99" s="34">
        <f t="shared" si="54"/>
        <v>-0.98554699999999995</v>
      </c>
      <c r="W99" s="34">
        <f t="shared" si="54"/>
        <v>-0.97303499999999998</v>
      </c>
      <c r="X99" s="34">
        <f t="shared" si="54"/>
        <v>-0.97004599999999996</v>
      </c>
      <c r="Y99" s="34">
        <f t="shared" si="54"/>
        <v>-0.97964499999999999</v>
      </c>
      <c r="Z99" s="34">
        <f t="shared" si="54"/>
        <v>-0.93467600000000006</v>
      </c>
      <c r="AA99" s="34">
        <f t="shared" si="54"/>
        <v>-0.88761400000000001</v>
      </c>
      <c r="AB99" s="34">
        <f t="shared" si="54"/>
        <v>-0.79646899999999998</v>
      </c>
      <c r="AC99" s="34">
        <f t="shared" si="54"/>
        <v>-0.673655</v>
      </c>
      <c r="AD99" s="34">
        <f t="shared" si="54"/>
        <v>-0.52092099999999997</v>
      </c>
      <c r="AE99" s="34">
        <f t="shared" si="54"/>
        <v>-0.37355499999999997</v>
      </c>
      <c r="AF99" s="34">
        <f t="shared" si="54"/>
        <v>-0.24183500000000002</v>
      </c>
      <c r="AG99" s="34">
        <f t="shared" si="54"/>
        <v>-0.14094099999999998</v>
      </c>
      <c r="AH99" s="34">
        <f t="shared" si="54"/>
        <v>-9.5698999999999979E-2</v>
      </c>
      <c r="AI99" s="34">
        <f t="shared" si="54"/>
        <v>-6.0494999999999965E-2</v>
      </c>
      <c r="AJ99" s="34">
        <f t="shared" si="54"/>
        <v>-4.2906E-2</v>
      </c>
      <c r="AK99" s="34">
        <f t="shared" si="54"/>
        <v>-2.8734999999999955E-2</v>
      </c>
      <c r="AL99" s="34">
        <f t="shared" si="54"/>
        <v>-2.103900000000003E-2</v>
      </c>
    </row>
    <row r="100" spans="1:38" s="4" customFormat="1" ht="12.75" thickBot="1">
      <c r="A100" s="19"/>
      <c r="B100" s="3"/>
      <c r="C100" s="3"/>
      <c r="D100" s="20"/>
      <c r="E100" s="20"/>
      <c r="F100" s="20"/>
      <c r="G100" s="20"/>
      <c r="J100" s="35"/>
      <c r="K100" s="35">
        <f t="shared" si="53"/>
        <v>0</v>
      </c>
      <c r="L100" s="59" t="s">
        <v>61</v>
      </c>
      <c r="M100" s="39">
        <f>IF(D98&gt;0,_xll.BDP(I98,"ASK")/100,(_xll.BDP(I98,"ASK")/100)+D98)</f>
        <v>9.000000000006364E-4</v>
      </c>
      <c r="N100" s="50"/>
      <c r="O100" s="43"/>
      <c r="P100" s="53"/>
      <c r="Q100" s="28" t="str">
        <f>$H98&amp;$H$29&amp;"_"&amp;Q$22&amp;$P$22</f>
        <v>150C_147P</v>
      </c>
      <c r="R100" s="28" t="str">
        <f>$H98&amp;$H$29&amp;"_"&amp;R$22&amp;$P$22</f>
        <v>150C_147.5P</v>
      </c>
      <c r="S100" s="28" t="str">
        <f>$H98&amp;$H$29&amp;"_"&amp;S$22&amp;$P$22</f>
        <v>150C_148P</v>
      </c>
      <c r="T100" s="28" t="str">
        <f>$H98&amp;$H$29&amp;"_"&amp;T$22&amp;$P$22</f>
        <v>150C_148.5P</v>
      </c>
      <c r="U100" s="28" t="str">
        <f>$H98&amp;$H$29&amp;"_"&amp;U$22&amp;$P$22</f>
        <v>150C_149P</v>
      </c>
      <c r="V100" s="28" t="str">
        <f>$H98&amp;$H$29&amp;"_"&amp;V$22&amp;$P$22</f>
        <v>150C_149.5P</v>
      </c>
      <c r="W100" s="28" t="str">
        <f>$H98&amp;$H$29&amp;"_"&amp;W$22&amp;$P$22</f>
        <v>150C_150P</v>
      </c>
      <c r="X100" s="28" t="str">
        <f>$H98&amp;$H$29&amp;"_"&amp;X$22&amp;$P$22</f>
        <v>150C_150.5P</v>
      </c>
      <c r="Y100" s="28" t="str">
        <f>$H98&amp;$H$29&amp;"_"&amp;Y$22&amp;$P$22</f>
        <v>150C_151P</v>
      </c>
      <c r="Z100" s="28" t="str">
        <f>$H98&amp;$H$29&amp;"_"&amp;Z$22&amp;$P$22</f>
        <v>150C_151.5P</v>
      </c>
      <c r="AA100" s="28" t="str">
        <f>$H98&amp;$H$29&amp;"_"&amp;AA$22&amp;$P$22</f>
        <v>150C_152P</v>
      </c>
      <c r="AB100" s="28" t="str">
        <f>$H98&amp;$H$29&amp;"_"&amp;AB$22&amp;$P$22</f>
        <v>150C_152.5P</v>
      </c>
      <c r="AC100" s="28" t="str">
        <f>$H98&amp;$H$29&amp;"_"&amp;AC$22&amp;$P$22</f>
        <v>150C_153P</v>
      </c>
      <c r="AD100" s="28" t="str">
        <f>$H98&amp;$H$29&amp;"_"&amp;AD$22&amp;$P$22</f>
        <v>150C_153.5P</v>
      </c>
      <c r="AE100" s="28" t="str">
        <f>$H98&amp;$H$29&amp;"_"&amp;AE$22&amp;$P$22</f>
        <v>150C_154P</v>
      </c>
      <c r="AF100" s="28" t="str">
        <f>$H98&amp;$H$29&amp;"_"&amp;AF$22&amp;$P$22</f>
        <v>150C_154.5P</v>
      </c>
      <c r="AG100" s="28" t="str">
        <f>$H98&amp;$H$29&amp;"_"&amp;AG$22&amp;$P$22</f>
        <v>150C_155P</v>
      </c>
      <c r="AH100" s="28" t="str">
        <f>$H98&amp;$H$29&amp;"_"&amp;AH$22&amp;$P$22</f>
        <v>150C_155.5P</v>
      </c>
      <c r="AI100" s="28" t="str">
        <f>$H98&amp;$H$29&amp;"_"&amp;AI$22&amp;$P$22</f>
        <v>150C_156P</v>
      </c>
      <c r="AJ100" s="28" t="str">
        <f>$H98&amp;$H$29&amp;"_"&amp;AJ$22&amp;$P$22</f>
        <v>150C_156.5P</v>
      </c>
      <c r="AK100" s="28" t="str">
        <f>$H98&amp;$H$29&amp;"_"&amp;AK$22&amp;$P$22</f>
        <v>150C_157P</v>
      </c>
      <c r="AL100" s="28" t="str">
        <f>$H98&amp;$H$29&amp;"_"&amp;AL$22&amp;$P$22</f>
        <v>150C_157.5P</v>
      </c>
    </row>
    <row r="101" spans="1:38" s="4" customFormat="1" ht="12.75" thickTop="1">
      <c r="A101" s="19"/>
      <c r="B101" s="3"/>
      <c r="C101" s="3"/>
      <c r="D101" s="20"/>
      <c r="E101" s="20"/>
      <c r="F101" s="20"/>
      <c r="G101" s="20"/>
      <c r="J101" s="35"/>
      <c r="K101" s="35">
        <f t="shared" si="53"/>
        <v>0</v>
      </c>
      <c r="L101" s="57"/>
      <c r="M101" s="39"/>
      <c r="N101" s="48"/>
      <c r="O101" s="43"/>
      <c r="P101" s="53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</row>
    <row r="102" spans="1:38">
      <c r="A102" s="16">
        <f>_xll.BDP($I102, A$29)/-1</f>
        <v>-1</v>
      </c>
      <c r="B102" s="12">
        <f>_xll.BDP($I102, B$29)/100</f>
        <v>0.12254357</v>
      </c>
      <c r="C102" s="6">
        <f ca="1">B102*(MIN(SQRT(1/365),(SQRT(($B$24/365)))))</f>
        <v>6.4142236097608435E-3</v>
      </c>
      <c r="D102" s="11">
        <f>(H102-$B$14)/100</f>
        <v>-4.0699999999999362E-2</v>
      </c>
      <c r="E102" s="11">
        <f t="shared" ca="1" si="19"/>
        <v>5.596602864546238</v>
      </c>
      <c r="F102" s="11">
        <f t="shared" ca="1" si="20"/>
        <v>1.0929632421330382E-8</v>
      </c>
      <c r="G102" s="11">
        <f ca="1">IF(D102&gt;0,0,0.25*$B$26)</f>
        <v>6.9839079928285568E-5</v>
      </c>
      <c r="H102" s="4">
        <v>149.50000000000006</v>
      </c>
      <c r="I102" t="str">
        <f>($I$29&amp;" "&amp;H102&amp;" COMB Curncy")</f>
        <v>3BV5C 149.5 COMB Curncy</v>
      </c>
      <c r="J102" s="35">
        <f ca="1">-1*CGBlackScholes("t","c",B$14,H102,$B$24/365,$B$16,$B$15,B102)/100</f>
        <v>1.2035010827095648E-4</v>
      </c>
      <c r="K102" s="35">
        <f t="shared" ca="1" si="53"/>
        <v>0</v>
      </c>
      <c r="L102" s="57">
        <f ca="1">CGBlackScholes("g","c",B$14,H102,$B$24/365,$B$16,$B$15,B102)</f>
        <v>2.5037802359551331E-2</v>
      </c>
      <c r="M102" s="39">
        <f ca="1">((M103+M104)/2)/$B$24</f>
        <v>1.1639846654863209E-5</v>
      </c>
      <c r="N102" s="48">
        <f ca="1">(MIN($J102,$M102) - $B$22*$B$23/10000*$F102)*10000</f>
        <v>0.11639715499274153</v>
      </c>
      <c r="O102" s="43" t="str">
        <f>ROUND((($M104*10000)+$B$23),0)&amp;" ticks"</f>
        <v>21 ticks</v>
      </c>
      <c r="P102" s="54">
        <f>SUM(Q101:AL101)</f>
        <v>0</v>
      </c>
      <c r="Q102" s="33" t="e">
        <f t="shared" ref="Q102:AL102" ca="1" si="55">(MIN(($J102+Q$24),($M102+Q$29))- $B$26 - (($B$22*$B$26)*MAX($F102,Q$20))-($G102+Q$21))* 10000</f>
        <v>#VALUE!</v>
      </c>
      <c r="R102" s="33" t="e">
        <f t="shared" ca="1" si="55"/>
        <v>#VALUE!</v>
      </c>
      <c r="S102" s="33" t="e">
        <f t="shared" ca="1" si="55"/>
        <v>#VALUE!</v>
      </c>
      <c r="T102" s="33" t="e">
        <f t="shared" ca="1" si="55"/>
        <v>#VALUE!</v>
      </c>
      <c r="U102" s="33" t="e">
        <f t="shared" ca="1" si="55"/>
        <v>#VALUE!</v>
      </c>
      <c r="V102" s="33" t="e">
        <f t="shared" ca="1" si="55"/>
        <v>#VALUE!</v>
      </c>
      <c r="W102" s="33" t="e">
        <f t="shared" ca="1" si="55"/>
        <v>#VALUE!</v>
      </c>
      <c r="X102" s="33" t="e">
        <f t="shared" ca="1" si="55"/>
        <v>#VALUE!</v>
      </c>
      <c r="Y102" s="33">
        <f t="shared" ca="1" si="55"/>
        <v>-2.9156795732312784</v>
      </c>
      <c r="Z102" s="33">
        <f t="shared" ca="1" si="55"/>
        <v>-2.5061230353702157</v>
      </c>
      <c r="AA102" s="33">
        <f t="shared" ca="1" si="55"/>
        <v>-2.1770098758924989</v>
      </c>
      <c r="AB102" s="33">
        <f t="shared" ca="1" si="55"/>
        <v>-1.9722338656776168</v>
      </c>
      <c r="AC102" s="33">
        <f t="shared" ca="1" si="55"/>
        <v>-3.1403069916995174</v>
      </c>
      <c r="AD102" s="33">
        <f t="shared" ca="1" si="55"/>
        <v>-8.9777511729023267</v>
      </c>
      <c r="AE102" s="33">
        <f t="shared" ca="1" si="55"/>
        <v>-4.5805488363636631</v>
      </c>
      <c r="AF102" s="33">
        <f t="shared" ca="1" si="55"/>
        <v>-2.8069262790502529</v>
      </c>
      <c r="AG102" s="33">
        <f t="shared" ca="1" si="55"/>
        <v>-2.3175692706151541</v>
      </c>
      <c r="AH102" s="33">
        <f t="shared" ca="1" si="55"/>
        <v>-2.9046957744590927</v>
      </c>
      <c r="AI102" s="33">
        <f t="shared" ca="1" si="55"/>
        <v>-3.3871961429150717</v>
      </c>
      <c r="AJ102" s="33">
        <f t="shared" ca="1" si="55"/>
        <v>-3.6091348514434269</v>
      </c>
      <c r="AK102" s="33">
        <f t="shared" ca="1" si="55"/>
        <v>-3.8411829021304058</v>
      </c>
      <c r="AL102" s="33">
        <f t="shared" ca="1" si="55"/>
        <v>-3.9575487724419967</v>
      </c>
    </row>
    <row r="103" spans="1:38" s="23" customFormat="1">
      <c r="H103" s="22"/>
      <c r="J103" s="36"/>
      <c r="K103" s="35">
        <f t="shared" si="53"/>
        <v>0</v>
      </c>
      <c r="L103" s="59" t="s">
        <v>60</v>
      </c>
      <c r="M103" s="39">
        <f>IF(D102&gt;0,_xll.BDP(I102,"BID")/100,(_xll.BDP(I102,"BID")/100)+D102)</f>
        <v>-7.9999999999935678E-4</v>
      </c>
      <c r="N103" s="48"/>
      <c r="O103" s="43"/>
      <c r="P103" s="53"/>
      <c r="Q103" s="34">
        <f>Q$15+$A102</f>
        <v>-0.98997999999999997</v>
      </c>
      <c r="R103" s="34">
        <f t="shared" ref="R103:AL103" si="56">R$15+$A102</f>
        <v>-0.98930899999999999</v>
      </c>
      <c r="S103" s="34">
        <f t="shared" si="56"/>
        <v>-0.98851900000000004</v>
      </c>
      <c r="T103" s="34">
        <f t="shared" si="56"/>
        <v>-0.98768199999999995</v>
      </c>
      <c r="U103" s="34">
        <f t="shared" si="56"/>
        <v>-0.98677999999999999</v>
      </c>
      <c r="V103" s="34">
        <f t="shared" si="56"/>
        <v>-0.98554699999999995</v>
      </c>
      <c r="W103" s="34">
        <f t="shared" si="56"/>
        <v>-0.97303499999999998</v>
      </c>
      <c r="X103" s="34">
        <f t="shared" si="56"/>
        <v>-0.97004599999999996</v>
      </c>
      <c r="Y103" s="34">
        <f t="shared" si="56"/>
        <v>-0.97964499999999999</v>
      </c>
      <c r="Z103" s="34">
        <f t="shared" si="56"/>
        <v>-0.93467600000000006</v>
      </c>
      <c r="AA103" s="34">
        <f t="shared" si="56"/>
        <v>-0.88761400000000001</v>
      </c>
      <c r="AB103" s="34">
        <f t="shared" si="56"/>
        <v>-0.79646899999999998</v>
      </c>
      <c r="AC103" s="34">
        <f t="shared" si="56"/>
        <v>-0.673655</v>
      </c>
      <c r="AD103" s="34">
        <f t="shared" si="56"/>
        <v>-0.52092099999999997</v>
      </c>
      <c r="AE103" s="34">
        <f t="shared" si="56"/>
        <v>-0.37355499999999997</v>
      </c>
      <c r="AF103" s="34">
        <f t="shared" si="56"/>
        <v>-0.24183500000000002</v>
      </c>
      <c r="AG103" s="34">
        <f t="shared" si="56"/>
        <v>-0.14094099999999998</v>
      </c>
      <c r="AH103" s="34">
        <f t="shared" si="56"/>
        <v>-9.5698999999999979E-2</v>
      </c>
      <c r="AI103" s="34">
        <f t="shared" si="56"/>
        <v>-6.0494999999999965E-2</v>
      </c>
      <c r="AJ103" s="34">
        <f t="shared" si="56"/>
        <v>-4.2906E-2</v>
      </c>
      <c r="AK103" s="34">
        <f t="shared" si="56"/>
        <v>-2.8734999999999955E-2</v>
      </c>
      <c r="AL103" s="34">
        <f t="shared" si="56"/>
        <v>-2.103900000000003E-2</v>
      </c>
    </row>
    <row r="104" spans="1:38" s="4" customFormat="1" ht="12.75" thickBot="1">
      <c r="A104" s="19"/>
      <c r="B104" s="3"/>
      <c r="C104" s="3"/>
      <c r="D104" s="20"/>
      <c r="E104" s="20"/>
      <c r="F104" s="20"/>
      <c r="G104" s="20"/>
      <c r="J104" s="35"/>
      <c r="K104" s="35">
        <f t="shared" si="53"/>
        <v>0</v>
      </c>
      <c r="L104" s="59" t="s">
        <v>61</v>
      </c>
      <c r="M104" s="39">
        <f>IF(D102&gt;0,_xll.BDP(I102,"ASK")/100,(_xll.BDP(I102,"ASK")/100)+D102)</f>
        <v>9.000000000006364E-4</v>
      </c>
      <c r="N104" s="50"/>
      <c r="O104" s="43"/>
      <c r="P104" s="53"/>
      <c r="Q104" s="28" t="str">
        <f>$H102&amp;$H$29&amp;"_"&amp;Q$22&amp;$P$22</f>
        <v>149.5C_147P</v>
      </c>
      <c r="R104" s="28" t="str">
        <f>$H102&amp;$H$29&amp;"_"&amp;R$22&amp;$P$22</f>
        <v>149.5C_147.5P</v>
      </c>
      <c r="S104" s="28" t="str">
        <f>$H102&amp;$H$29&amp;"_"&amp;S$22&amp;$P$22</f>
        <v>149.5C_148P</v>
      </c>
      <c r="T104" s="28" t="str">
        <f>$H102&amp;$H$29&amp;"_"&amp;T$22&amp;$P$22</f>
        <v>149.5C_148.5P</v>
      </c>
      <c r="U104" s="28" t="str">
        <f>$H102&amp;$H$29&amp;"_"&amp;U$22&amp;$P$22</f>
        <v>149.5C_149P</v>
      </c>
      <c r="V104" s="28" t="str">
        <f>$H102&amp;$H$29&amp;"_"&amp;V$22&amp;$P$22</f>
        <v>149.5C_149.5P</v>
      </c>
      <c r="W104" s="28" t="str">
        <f>$H102&amp;$H$29&amp;"_"&amp;W$22&amp;$P$22</f>
        <v>149.5C_150P</v>
      </c>
      <c r="X104" s="28" t="str">
        <f>$H102&amp;$H$29&amp;"_"&amp;X$22&amp;$P$22</f>
        <v>149.5C_150.5P</v>
      </c>
      <c r="Y104" s="28" t="str">
        <f>$H102&amp;$H$29&amp;"_"&amp;Y$22&amp;$P$22</f>
        <v>149.5C_151P</v>
      </c>
      <c r="Z104" s="28" t="str">
        <f>$H102&amp;$H$29&amp;"_"&amp;Z$22&amp;$P$22</f>
        <v>149.5C_151.5P</v>
      </c>
      <c r="AA104" s="28" t="str">
        <f>$H102&amp;$H$29&amp;"_"&amp;AA$22&amp;$P$22</f>
        <v>149.5C_152P</v>
      </c>
      <c r="AB104" s="28" t="str">
        <f>$H102&amp;$H$29&amp;"_"&amp;AB$22&amp;$P$22</f>
        <v>149.5C_152.5P</v>
      </c>
      <c r="AC104" s="28" t="str">
        <f>$H102&amp;$H$29&amp;"_"&amp;AC$22&amp;$P$22</f>
        <v>149.5C_153P</v>
      </c>
      <c r="AD104" s="28" t="str">
        <f>$H102&amp;$H$29&amp;"_"&amp;AD$22&amp;$P$22</f>
        <v>149.5C_153.5P</v>
      </c>
      <c r="AE104" s="28" t="str">
        <f>$H102&amp;$H$29&amp;"_"&amp;AE$22&amp;$P$22</f>
        <v>149.5C_154P</v>
      </c>
      <c r="AF104" s="28" t="str">
        <f>$H102&amp;$H$29&amp;"_"&amp;AF$22&amp;$P$22</f>
        <v>149.5C_154.5P</v>
      </c>
      <c r="AG104" s="28" t="str">
        <f>$H102&amp;$H$29&amp;"_"&amp;AG$22&amp;$P$22</f>
        <v>149.5C_155P</v>
      </c>
      <c r="AH104" s="28" t="str">
        <f>$H102&amp;$H$29&amp;"_"&amp;AH$22&amp;$P$22</f>
        <v>149.5C_155.5P</v>
      </c>
      <c r="AI104" s="28" t="str">
        <f>$H102&amp;$H$29&amp;"_"&amp;AI$22&amp;$P$22</f>
        <v>149.5C_156P</v>
      </c>
      <c r="AJ104" s="28" t="str">
        <f>$H102&amp;$H$29&amp;"_"&amp;AJ$22&amp;$P$22</f>
        <v>149.5C_156.5P</v>
      </c>
      <c r="AK104" s="28" t="str">
        <f>$H102&amp;$H$29&amp;"_"&amp;AK$22&amp;$P$22</f>
        <v>149.5C_157P</v>
      </c>
      <c r="AL104" s="28" t="str">
        <f>$H102&amp;$H$29&amp;"_"&amp;AL$22&amp;$P$22</f>
        <v>149.5C_157.5P</v>
      </c>
    </row>
    <row r="105" spans="1:38" s="4" customFormat="1" ht="12.75" thickTop="1">
      <c r="A105" s="19"/>
      <c r="B105" s="3"/>
      <c r="C105" s="3"/>
      <c r="D105" s="20"/>
      <c r="E105" s="20"/>
      <c r="F105" s="20"/>
      <c r="G105" s="20"/>
      <c r="J105" s="35"/>
      <c r="K105" s="35">
        <f t="shared" si="53"/>
        <v>0</v>
      </c>
      <c r="L105" s="57"/>
      <c r="M105" s="40"/>
      <c r="N105" s="51"/>
      <c r="O105" s="43"/>
      <c r="P105" s="53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</row>
    <row r="106" spans="1:38">
      <c r="A106" s="16">
        <f>_xll.BDP($I106, A$29)/-1</f>
        <v>-0.99210900000000002</v>
      </c>
      <c r="B106" s="12">
        <f>_xll.BDP($I106, B$29)/100</f>
        <v>0.12455190999999999</v>
      </c>
      <c r="C106" s="6">
        <f ca="1">B106*(MIN(SQRT(1/365),(SQRT(($B$24/365)))))</f>
        <v>6.5193449298303254E-3</v>
      </c>
      <c r="D106" s="11">
        <f>(H106-$B$14)/100</f>
        <v>-4.5699999999999366E-2</v>
      </c>
      <c r="E106" s="11">
        <f t="shared" ca="1" si="19"/>
        <v>6.2841462139991044</v>
      </c>
      <c r="F106" s="11">
        <f t="shared" ca="1" si="20"/>
        <v>1.6483014952939357E-10</v>
      </c>
      <c r="G106" s="11">
        <f ca="1">IF(D106&gt;0,0,0.25*$B$26)</f>
        <v>6.9839079928285568E-5</v>
      </c>
      <c r="H106" s="4">
        <v>149.00000000000006</v>
      </c>
      <c r="I106" t="str">
        <f>($I$29&amp;" "&amp;H106&amp;" COMB Curncy")</f>
        <v>3BV5C 149 COMB Curncy</v>
      </c>
      <c r="J106" s="35">
        <f ca="1">-1*CGBlackScholes("t","c",B$14,H106,$B$24/365,$B$16,$B$15,B106)/100</f>
        <v>7.668494226083022E-5</v>
      </c>
      <c r="K106" s="35">
        <f t="shared" ca="1" si="53"/>
        <v>0</v>
      </c>
      <c r="L106" s="57">
        <f ca="1">CGBlackScholes("g","c",B$14,H106,$B$24/365,$B$16,$B$15,B106)</f>
        <v>1.5551271996120259E-2</v>
      </c>
      <c r="M106" s="40">
        <f ca="1">((M107+M108)/2)/$B$24</f>
        <v>1.1639846654862401E-5</v>
      </c>
      <c r="N106" s="51">
        <f ca="1">(MIN($J106,$M106) - $B$22*$B$23/10000*$F106)*10000</f>
        <v>0.11639844676900607</v>
      </c>
      <c r="O106" s="43" t="str">
        <f>ROUND((($M108*10000)+$B$23),0)&amp;" ticks"</f>
        <v>20 ticks</v>
      </c>
      <c r="P106" s="54">
        <f>SUM(Q105:AL105)</f>
        <v>0</v>
      </c>
      <c r="Q106" s="33" t="e">
        <f t="shared" ref="Q106:AL106" ca="1" si="57">(MIN(($J106+Q$24),($M106+Q$29))- $B$26 - (($B$22*$B$26)*MAX($F106,Q$20))-($G106+Q$21))* 10000</f>
        <v>#VALUE!</v>
      </c>
      <c r="R106" s="33" t="e">
        <f t="shared" ca="1" si="57"/>
        <v>#VALUE!</v>
      </c>
      <c r="S106" s="33" t="e">
        <f t="shared" ca="1" si="57"/>
        <v>#VALUE!</v>
      </c>
      <c r="T106" s="33" t="e">
        <f t="shared" ca="1" si="57"/>
        <v>#VALUE!</v>
      </c>
      <c r="U106" s="33" t="e">
        <f t="shared" ca="1" si="57"/>
        <v>#VALUE!</v>
      </c>
      <c r="V106" s="33" t="e">
        <f t="shared" ca="1" si="57"/>
        <v>#VALUE!</v>
      </c>
      <c r="W106" s="33" t="e">
        <f t="shared" ca="1" si="57"/>
        <v>#VALUE!</v>
      </c>
      <c r="X106" s="33" t="e">
        <f t="shared" ca="1" si="57"/>
        <v>#VALUE!</v>
      </c>
      <c r="Y106" s="33">
        <f t="shared" ca="1" si="57"/>
        <v>-2.9156795732312872</v>
      </c>
      <c r="Z106" s="33">
        <f t="shared" ca="1" si="57"/>
        <v>-2.5061230353702242</v>
      </c>
      <c r="AA106" s="33">
        <f t="shared" ca="1" si="57"/>
        <v>-2.1770098758925074</v>
      </c>
      <c r="AB106" s="33">
        <f t="shared" ca="1" si="57"/>
        <v>-1.972233865677625</v>
      </c>
      <c r="AC106" s="33">
        <f t="shared" ca="1" si="57"/>
        <v>-3.1403069916995259</v>
      </c>
      <c r="AD106" s="33">
        <f t="shared" ca="1" si="57"/>
        <v>-9.4144028330035887</v>
      </c>
      <c r="AE106" s="33">
        <f t="shared" ca="1" si="57"/>
        <v>-5.0172004964649259</v>
      </c>
      <c r="AF106" s="33">
        <f t="shared" ca="1" si="57"/>
        <v>-2.8069262790502614</v>
      </c>
      <c r="AG106" s="33">
        <f t="shared" ca="1" si="57"/>
        <v>-2.317569270615162</v>
      </c>
      <c r="AH106" s="33">
        <f t="shared" ca="1" si="57"/>
        <v>-2.9046957744591007</v>
      </c>
      <c r="AI106" s="33">
        <f t="shared" ca="1" si="57"/>
        <v>-3.3871961429150796</v>
      </c>
      <c r="AJ106" s="33">
        <f t="shared" ca="1" si="57"/>
        <v>-3.6091348514434349</v>
      </c>
      <c r="AK106" s="33">
        <f t="shared" ca="1" si="57"/>
        <v>-3.8411829021304138</v>
      </c>
      <c r="AL106" s="33">
        <f t="shared" ca="1" si="57"/>
        <v>-3.9575487724420042</v>
      </c>
    </row>
    <row r="107" spans="1:38" s="23" customFormat="1">
      <c r="H107" s="22"/>
      <c r="J107" s="36"/>
      <c r="K107" s="35">
        <f t="shared" si="53"/>
        <v>0</v>
      </c>
      <c r="L107" s="59" t="s">
        <v>60</v>
      </c>
      <c r="M107" s="40">
        <f>IF(D106&gt;0,_xll.BDP(I106,"BID")/100,(_xll.BDP(I106,"BID")/100)+D106)</f>
        <v>-6.9999999999936779E-4</v>
      </c>
      <c r="N107" s="51"/>
      <c r="O107" s="43"/>
      <c r="P107" s="53"/>
      <c r="Q107" s="34">
        <f>Q$15+$A106</f>
        <v>-0.98208899999999999</v>
      </c>
      <c r="R107" s="34">
        <f t="shared" ref="R107:AL107" si="58">R$15+$A106</f>
        <v>-0.98141800000000001</v>
      </c>
      <c r="S107" s="34">
        <f t="shared" si="58"/>
        <v>-0.98062800000000006</v>
      </c>
      <c r="T107" s="34">
        <f t="shared" si="58"/>
        <v>-0.97979099999999997</v>
      </c>
      <c r="U107" s="34">
        <f t="shared" si="58"/>
        <v>-0.97888900000000001</v>
      </c>
      <c r="V107" s="34">
        <f t="shared" si="58"/>
        <v>-0.97765599999999997</v>
      </c>
      <c r="W107" s="34">
        <f t="shared" si="58"/>
        <v>-0.965144</v>
      </c>
      <c r="X107" s="34">
        <f t="shared" si="58"/>
        <v>-0.96215499999999998</v>
      </c>
      <c r="Y107" s="34">
        <f t="shared" si="58"/>
        <v>-0.97175400000000001</v>
      </c>
      <c r="Z107" s="34">
        <f t="shared" si="58"/>
        <v>-0.92678499999999997</v>
      </c>
      <c r="AA107" s="34">
        <f t="shared" si="58"/>
        <v>-0.87972300000000003</v>
      </c>
      <c r="AB107" s="34">
        <f t="shared" si="58"/>
        <v>-0.788578</v>
      </c>
      <c r="AC107" s="34">
        <f t="shared" si="58"/>
        <v>-0.66576400000000002</v>
      </c>
      <c r="AD107" s="34">
        <f t="shared" si="58"/>
        <v>-0.5130300000000001</v>
      </c>
      <c r="AE107" s="34">
        <f t="shared" si="58"/>
        <v>-0.36566399999999999</v>
      </c>
      <c r="AF107" s="34">
        <f t="shared" si="58"/>
        <v>-0.23394400000000004</v>
      </c>
      <c r="AG107" s="34">
        <f t="shared" si="58"/>
        <v>-0.13305</v>
      </c>
      <c r="AH107" s="34">
        <f t="shared" si="58"/>
        <v>-8.7807999999999997E-2</v>
      </c>
      <c r="AI107" s="34">
        <f t="shared" si="58"/>
        <v>-5.2603999999999984E-2</v>
      </c>
      <c r="AJ107" s="34">
        <f t="shared" si="58"/>
        <v>-3.5015000000000018E-2</v>
      </c>
      <c r="AK107" s="34">
        <f t="shared" si="58"/>
        <v>-2.0843999999999974E-2</v>
      </c>
      <c r="AL107" s="34">
        <f t="shared" si="58"/>
        <v>-1.3148000000000049E-2</v>
      </c>
    </row>
    <row r="108" spans="1:38" s="4" customFormat="1" ht="12.75" thickBot="1">
      <c r="A108" s="19"/>
      <c r="B108" s="3"/>
      <c r="C108" s="3"/>
      <c r="D108" s="20"/>
      <c r="E108" s="20"/>
      <c r="F108" s="20"/>
      <c r="G108" s="20"/>
      <c r="J108" s="35"/>
      <c r="K108" s="35">
        <f t="shared" si="53"/>
        <v>0</v>
      </c>
      <c r="L108" s="59" t="s">
        <v>61</v>
      </c>
      <c r="M108" s="40">
        <f>IF(D106&gt;0,_xll.BDP(I106,"ASK")/100,(_xll.BDP(I106,"ASK")/100)+D106)</f>
        <v>8.0000000000064048E-4</v>
      </c>
      <c r="N108" s="50"/>
      <c r="O108" s="43"/>
      <c r="P108" s="53"/>
      <c r="Q108" s="28" t="str">
        <f>$H106&amp;$H$29&amp;"_"&amp;Q$22&amp;$P$22</f>
        <v>149C_147P</v>
      </c>
      <c r="R108" s="28" t="str">
        <f>$H106&amp;$H$29&amp;"_"&amp;R$22&amp;$P$22</f>
        <v>149C_147.5P</v>
      </c>
      <c r="S108" s="28" t="str">
        <f>$H106&amp;$H$29&amp;"_"&amp;S$22&amp;$P$22</f>
        <v>149C_148P</v>
      </c>
      <c r="T108" s="28" t="str">
        <f>$H106&amp;$H$29&amp;"_"&amp;T$22&amp;$P$22</f>
        <v>149C_148.5P</v>
      </c>
      <c r="U108" s="28" t="str">
        <f>$H106&amp;$H$29&amp;"_"&amp;U$22&amp;$P$22</f>
        <v>149C_149P</v>
      </c>
      <c r="V108" s="28" t="str">
        <f>$H106&amp;$H$29&amp;"_"&amp;V$22&amp;$P$22</f>
        <v>149C_149.5P</v>
      </c>
      <c r="W108" s="28" t="str">
        <f>$H106&amp;$H$29&amp;"_"&amp;W$22&amp;$P$22</f>
        <v>149C_150P</v>
      </c>
      <c r="X108" s="28" t="str">
        <f>$H106&amp;$H$29&amp;"_"&amp;X$22&amp;$P$22</f>
        <v>149C_150.5P</v>
      </c>
      <c r="Y108" s="28" t="str">
        <f>$H106&amp;$H$29&amp;"_"&amp;Y$22&amp;$P$22</f>
        <v>149C_151P</v>
      </c>
      <c r="Z108" s="28" t="str">
        <f>$H106&amp;$H$29&amp;"_"&amp;Z$22&amp;$P$22</f>
        <v>149C_151.5P</v>
      </c>
      <c r="AA108" s="28" t="str">
        <f>$H106&amp;$H$29&amp;"_"&amp;AA$22&amp;$P$22</f>
        <v>149C_152P</v>
      </c>
      <c r="AB108" s="28" t="str">
        <f>$H106&amp;$H$29&amp;"_"&amp;AB$22&amp;$P$22</f>
        <v>149C_152.5P</v>
      </c>
      <c r="AC108" s="28" t="str">
        <f>$H106&amp;$H$29&amp;"_"&amp;AC$22&amp;$P$22</f>
        <v>149C_153P</v>
      </c>
      <c r="AD108" s="28" t="str">
        <f>$H106&amp;$H$29&amp;"_"&amp;AD$22&amp;$P$22</f>
        <v>149C_153.5P</v>
      </c>
      <c r="AE108" s="28" t="str">
        <f>$H106&amp;$H$29&amp;"_"&amp;AE$22&amp;$P$22</f>
        <v>149C_154P</v>
      </c>
      <c r="AF108" s="28" t="str">
        <f>$H106&amp;$H$29&amp;"_"&amp;AF$22&amp;$P$22</f>
        <v>149C_154.5P</v>
      </c>
      <c r="AG108" s="28" t="str">
        <f>$H106&amp;$H$29&amp;"_"&amp;AG$22&amp;$P$22</f>
        <v>149C_155P</v>
      </c>
      <c r="AH108" s="28" t="str">
        <f>$H106&amp;$H$29&amp;"_"&amp;AH$22&amp;$P$22</f>
        <v>149C_155.5P</v>
      </c>
      <c r="AI108" s="28" t="str">
        <f>$H106&amp;$H$29&amp;"_"&amp;AI$22&amp;$P$22</f>
        <v>149C_156P</v>
      </c>
      <c r="AJ108" s="28" t="str">
        <f>$H106&amp;$H$29&amp;"_"&amp;AJ$22&amp;$P$22</f>
        <v>149C_156.5P</v>
      </c>
      <c r="AK108" s="28" t="str">
        <f>$H106&amp;$H$29&amp;"_"&amp;AK$22&amp;$P$22</f>
        <v>149C_157P</v>
      </c>
      <c r="AL108" s="28" t="str">
        <f>$H106&amp;$H$29&amp;"_"&amp;AL$22&amp;$P$22</f>
        <v>149C_157.5P</v>
      </c>
    </row>
    <row r="109" spans="1:38" s="4" customFormat="1" ht="12.75" thickTop="1">
      <c r="A109" s="19"/>
      <c r="B109" s="3"/>
      <c r="C109" s="3"/>
      <c r="D109" s="20"/>
      <c r="E109" s="20"/>
      <c r="F109" s="20"/>
      <c r="G109" s="20"/>
      <c r="J109" s="35"/>
      <c r="K109" s="35">
        <f t="shared" si="53"/>
        <v>0</v>
      </c>
      <c r="L109" s="57"/>
      <c r="M109" s="40"/>
      <c r="N109" s="51"/>
      <c r="O109" s="43"/>
      <c r="P109" s="53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</row>
    <row r="110" spans="1:38">
      <c r="A110" s="16">
        <f>_xll.BDP($I110, A$29)/-1</f>
        <v>-1</v>
      </c>
      <c r="B110" s="12">
        <f>_xll.BDP($I110, B$29)/100</f>
        <v>0.13611019999999999</v>
      </c>
      <c r="C110" s="6">
        <f ca="1">B110*(MIN(SQRT(1/365),(SQRT(($B$24/365)))))</f>
        <v>7.1243334788538499E-3</v>
      </c>
      <c r="D110" s="11">
        <f>(H110-$B$14)/100</f>
        <v>-5.0699999999999648E-2</v>
      </c>
      <c r="E110" s="11">
        <f t="shared" ca="1" si="19"/>
        <v>6.9716895634520082</v>
      </c>
      <c r="F110" s="11">
        <f t="shared" ca="1" si="20"/>
        <v>1.5657475316288583E-12</v>
      </c>
      <c r="G110" s="11">
        <f ca="1">IF(D110&gt;0,0,0.25*$B$26)</f>
        <v>6.9839079928285568E-5</v>
      </c>
      <c r="H110" s="4">
        <v>148.50000000000003</v>
      </c>
      <c r="I110" t="str">
        <f>($I$29&amp;" "&amp;H110&amp;" COMB Curncy")</f>
        <v>3BV5C 148.5 COMB Curncy</v>
      </c>
      <c r="J110" s="35">
        <f ca="1">-1*CGBlackScholes("t","c",B$14,H110,$B$24/365,$B$16,$B$15,B110)/100</f>
        <v>7.669393958549447E-5</v>
      </c>
      <c r="K110" s="35">
        <f t="shared" ca="1" si="53"/>
        <v>0</v>
      </c>
      <c r="L110" s="57">
        <f ca="1">CGBlackScholes("g","c",B$14,H110,$B$24/365,$B$16,$B$15,B110)</f>
        <v>1.3046609300308654E-2</v>
      </c>
      <c r="M110" s="40">
        <f ca="1">((M111+M112)/2)/$B$24</f>
        <v>8.238301421470797E-17</v>
      </c>
      <c r="N110" s="51">
        <f ca="1">(MIN($J110,$M110) - $B$22*$B$23/10000*$F110)*10000</f>
        <v>-1.870658736533159E-10</v>
      </c>
      <c r="O110" s="43" t="str">
        <f>ROUND((($M112*10000)+$B$23),0)&amp;" ticks"</f>
        <v>20 ticks</v>
      </c>
      <c r="P110" s="54">
        <f>SUM(Q109:AL109)</f>
        <v>0</v>
      </c>
      <c r="Q110" s="33" t="e">
        <f t="shared" ref="Q110:AL110" ca="1" si="59">(MIN(($J110+Q$24),($M110+Q$29))- $B$26 - (($B$22*$B$26)*MAX($F110,Q$20))-($G110+Q$21))* 10000</f>
        <v>#VALUE!</v>
      </c>
      <c r="R110" s="33" t="e">
        <f t="shared" ca="1" si="59"/>
        <v>#VALUE!</v>
      </c>
      <c r="S110" s="33" t="e">
        <f t="shared" ca="1" si="59"/>
        <v>#VALUE!</v>
      </c>
      <c r="T110" s="33" t="e">
        <f t="shared" ca="1" si="59"/>
        <v>#VALUE!</v>
      </c>
      <c r="U110" s="33" t="e">
        <f t="shared" ca="1" si="59"/>
        <v>#VALUE!</v>
      </c>
      <c r="V110" s="33" t="e">
        <f t="shared" ca="1" si="59"/>
        <v>#VALUE!</v>
      </c>
      <c r="W110" s="33" t="e">
        <f t="shared" ca="1" si="59"/>
        <v>#VALUE!</v>
      </c>
      <c r="X110" s="33" t="e">
        <f t="shared" ca="1" si="59"/>
        <v>#VALUE!</v>
      </c>
      <c r="Y110" s="33">
        <f t="shared" ca="1" si="59"/>
        <v>-3.0320780397790865</v>
      </c>
      <c r="Z110" s="33">
        <f t="shared" ca="1" si="59"/>
        <v>-2.6225215019180239</v>
      </c>
      <c r="AA110" s="33">
        <f t="shared" ca="1" si="59"/>
        <v>-2.2934083424403076</v>
      </c>
      <c r="AB110" s="33">
        <f t="shared" ca="1" si="59"/>
        <v>-2.088632332225425</v>
      </c>
      <c r="AC110" s="33">
        <f t="shared" ca="1" si="59"/>
        <v>-3.2567054582473256</v>
      </c>
      <c r="AD110" s="33">
        <f t="shared" ca="1" si="59"/>
        <v>-9.4143128597569472</v>
      </c>
      <c r="AE110" s="33">
        <f t="shared" ca="1" si="59"/>
        <v>-5.0171105232182844</v>
      </c>
      <c r="AF110" s="33">
        <f t="shared" ca="1" si="59"/>
        <v>-2.9233247455980611</v>
      </c>
      <c r="AG110" s="33">
        <f t="shared" ca="1" si="59"/>
        <v>-2.4339677371629622</v>
      </c>
      <c r="AH110" s="33">
        <f t="shared" ca="1" si="59"/>
        <v>-3.0210942410069013</v>
      </c>
      <c r="AI110" s="33">
        <f t="shared" ca="1" si="59"/>
        <v>-3.5035946094628798</v>
      </c>
      <c r="AJ110" s="33">
        <f t="shared" ca="1" si="59"/>
        <v>-3.7255333179912351</v>
      </c>
      <c r="AK110" s="33">
        <f t="shared" ca="1" si="59"/>
        <v>-3.957581368678214</v>
      </c>
      <c r="AL110" s="33">
        <f t="shared" ca="1" si="59"/>
        <v>-4.0739472389898044</v>
      </c>
    </row>
    <row r="111" spans="1:38" s="23" customFormat="1">
      <c r="H111" s="22"/>
      <c r="J111" s="36"/>
      <c r="K111" s="35">
        <f t="shared" si="53"/>
        <v>0</v>
      </c>
      <c r="L111" s="59" t="s">
        <v>60</v>
      </c>
      <c r="M111" s="40">
        <f>IF(D110&gt;0,_xll.BDP(I110,"BID")/100,(_xll.BDP(I110,"BID")/100)+D110)</f>
        <v>-7.9999999999964821E-4</v>
      </c>
      <c r="N111" s="51"/>
      <c r="O111" s="43"/>
      <c r="P111" s="53"/>
      <c r="Q111" s="34">
        <f>Q$15+$A110</f>
        <v>-0.98997999999999997</v>
      </c>
      <c r="R111" s="34">
        <f t="shared" ref="R111:AL111" si="60">R$15+$A110</f>
        <v>-0.98930899999999999</v>
      </c>
      <c r="S111" s="34">
        <f t="shared" si="60"/>
        <v>-0.98851900000000004</v>
      </c>
      <c r="T111" s="34">
        <f t="shared" si="60"/>
        <v>-0.98768199999999995</v>
      </c>
      <c r="U111" s="34">
        <f t="shared" si="60"/>
        <v>-0.98677999999999999</v>
      </c>
      <c r="V111" s="34">
        <f t="shared" si="60"/>
        <v>-0.98554699999999995</v>
      </c>
      <c r="W111" s="34">
        <f t="shared" si="60"/>
        <v>-0.97303499999999998</v>
      </c>
      <c r="X111" s="34">
        <f t="shared" si="60"/>
        <v>-0.97004599999999996</v>
      </c>
      <c r="Y111" s="34">
        <f t="shared" si="60"/>
        <v>-0.97964499999999999</v>
      </c>
      <c r="Z111" s="34">
        <f t="shared" si="60"/>
        <v>-0.93467600000000006</v>
      </c>
      <c r="AA111" s="34">
        <f t="shared" si="60"/>
        <v>-0.88761400000000001</v>
      </c>
      <c r="AB111" s="34">
        <f t="shared" si="60"/>
        <v>-0.79646899999999998</v>
      </c>
      <c r="AC111" s="34">
        <f t="shared" si="60"/>
        <v>-0.673655</v>
      </c>
      <c r="AD111" s="34">
        <f t="shared" si="60"/>
        <v>-0.52092099999999997</v>
      </c>
      <c r="AE111" s="34">
        <f t="shared" si="60"/>
        <v>-0.37355499999999997</v>
      </c>
      <c r="AF111" s="34">
        <f t="shared" si="60"/>
        <v>-0.24183500000000002</v>
      </c>
      <c r="AG111" s="34">
        <f t="shared" si="60"/>
        <v>-0.14094099999999998</v>
      </c>
      <c r="AH111" s="34">
        <f t="shared" si="60"/>
        <v>-9.5698999999999979E-2</v>
      </c>
      <c r="AI111" s="34">
        <f t="shared" si="60"/>
        <v>-6.0494999999999965E-2</v>
      </c>
      <c r="AJ111" s="34">
        <f t="shared" si="60"/>
        <v>-4.2906E-2</v>
      </c>
      <c r="AK111" s="34">
        <f t="shared" si="60"/>
        <v>-2.8734999999999955E-2</v>
      </c>
      <c r="AL111" s="34">
        <f t="shared" si="60"/>
        <v>-2.103900000000003E-2</v>
      </c>
    </row>
    <row r="112" spans="1:38" s="4" customFormat="1" ht="12.75" thickBot="1">
      <c r="A112" s="19"/>
      <c r="B112" s="3"/>
      <c r="C112" s="3"/>
      <c r="D112" s="20"/>
      <c r="E112" s="20"/>
      <c r="F112" s="20"/>
      <c r="G112" s="20"/>
      <c r="J112" s="35"/>
      <c r="K112" s="35">
        <f t="shared" si="53"/>
        <v>0</v>
      </c>
      <c r="L112" s="59" t="s">
        <v>61</v>
      </c>
      <c r="M112" s="40">
        <f>IF(D110&gt;0,_xll.BDP(I110,"ASK")/100,(_xll.BDP(I110,"ASK")/100)+D110)</f>
        <v>8.0000000000035598E-4</v>
      </c>
      <c r="N112" s="50"/>
      <c r="O112" s="43"/>
      <c r="P112" s="53"/>
      <c r="Q112" s="28" t="str">
        <f>$H110&amp;$H$29&amp;"_"&amp;Q$22&amp;$P$22</f>
        <v>148.5C_147P</v>
      </c>
      <c r="R112" s="28" t="str">
        <f>$H110&amp;$H$29&amp;"_"&amp;R$22&amp;$P$22</f>
        <v>148.5C_147.5P</v>
      </c>
      <c r="S112" s="28" t="str">
        <f>$H110&amp;$H$29&amp;"_"&amp;S$22&amp;$P$22</f>
        <v>148.5C_148P</v>
      </c>
      <c r="T112" s="28" t="str">
        <f>$H110&amp;$H$29&amp;"_"&amp;T$22&amp;$P$22</f>
        <v>148.5C_148.5P</v>
      </c>
      <c r="U112" s="28" t="str">
        <f>$H110&amp;$H$29&amp;"_"&amp;U$22&amp;$P$22</f>
        <v>148.5C_149P</v>
      </c>
      <c r="V112" s="28" t="str">
        <f>$H110&amp;$H$29&amp;"_"&amp;V$22&amp;$P$22</f>
        <v>148.5C_149.5P</v>
      </c>
      <c r="W112" s="28" t="str">
        <f>$H110&amp;$H$29&amp;"_"&amp;W$22&amp;$P$22</f>
        <v>148.5C_150P</v>
      </c>
      <c r="X112" s="28" t="str">
        <f>$H110&amp;$H$29&amp;"_"&amp;X$22&amp;$P$22</f>
        <v>148.5C_150.5P</v>
      </c>
      <c r="Y112" s="28" t="str">
        <f>$H110&amp;$H$29&amp;"_"&amp;Y$22&amp;$P$22</f>
        <v>148.5C_151P</v>
      </c>
      <c r="Z112" s="28" t="str">
        <f>$H110&amp;$H$29&amp;"_"&amp;Z$22&amp;$P$22</f>
        <v>148.5C_151.5P</v>
      </c>
      <c r="AA112" s="28" t="str">
        <f>$H110&amp;$H$29&amp;"_"&amp;AA$22&amp;$P$22</f>
        <v>148.5C_152P</v>
      </c>
      <c r="AB112" s="28" t="str">
        <f>$H110&amp;$H$29&amp;"_"&amp;AB$22&amp;$P$22</f>
        <v>148.5C_152.5P</v>
      </c>
      <c r="AC112" s="28" t="str">
        <f>$H110&amp;$H$29&amp;"_"&amp;AC$22&amp;$P$22</f>
        <v>148.5C_153P</v>
      </c>
      <c r="AD112" s="28" t="str">
        <f>$H110&amp;$H$29&amp;"_"&amp;AD$22&amp;$P$22</f>
        <v>148.5C_153.5P</v>
      </c>
      <c r="AE112" s="28" t="str">
        <f>$H110&amp;$H$29&amp;"_"&amp;AE$22&amp;$P$22</f>
        <v>148.5C_154P</v>
      </c>
      <c r="AF112" s="28" t="str">
        <f>$H110&amp;$H$29&amp;"_"&amp;AF$22&amp;$P$22</f>
        <v>148.5C_154.5P</v>
      </c>
      <c r="AG112" s="28" t="str">
        <f>$H110&amp;$H$29&amp;"_"&amp;AG$22&amp;$P$22</f>
        <v>148.5C_155P</v>
      </c>
      <c r="AH112" s="28" t="str">
        <f>$H110&amp;$H$29&amp;"_"&amp;AH$22&amp;$P$22</f>
        <v>148.5C_155.5P</v>
      </c>
      <c r="AI112" s="28" t="str">
        <f>$H110&amp;$H$29&amp;"_"&amp;AI$22&amp;$P$22</f>
        <v>148.5C_156P</v>
      </c>
      <c r="AJ112" s="28" t="str">
        <f>$H110&amp;$H$29&amp;"_"&amp;AJ$22&amp;$P$22</f>
        <v>148.5C_156.5P</v>
      </c>
      <c r="AK112" s="28" t="str">
        <f>$H110&amp;$H$29&amp;"_"&amp;AK$22&amp;$P$22</f>
        <v>148.5C_157P</v>
      </c>
      <c r="AL112" s="28" t="str">
        <f>$H110&amp;$H$29&amp;"_"&amp;AL$22&amp;$P$22</f>
        <v>148.5C_157.5P</v>
      </c>
    </row>
    <row r="113" spans="1:38" s="4" customFormat="1" ht="12.75" thickTop="1">
      <c r="A113" s="19"/>
      <c r="B113" s="3"/>
      <c r="C113" s="3"/>
      <c r="D113" s="20"/>
      <c r="E113" s="20"/>
      <c r="F113" s="20"/>
      <c r="G113" s="20"/>
      <c r="J113" s="35"/>
      <c r="K113" s="35">
        <f t="shared" si="53"/>
        <v>0</v>
      </c>
      <c r="L113" s="57"/>
      <c r="M113" s="40"/>
      <c r="N113" s="51"/>
      <c r="O113" s="43"/>
      <c r="P113" s="53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</row>
    <row r="114" spans="1:38">
      <c r="A114" s="16">
        <f>_xll.BDP($I114, A$29)/-1</f>
        <v>-1</v>
      </c>
      <c r="B114" s="12">
        <f>_xll.BDP($I114, B$29)/100</f>
        <v>0.14826978000000002</v>
      </c>
      <c r="C114" s="6">
        <f ca="1">B114*(MIN(SQRT(1/365),(SQRT(($B$24/365)))))</f>
        <v>7.7607949849188024E-3</v>
      </c>
      <c r="D114" s="11">
        <f>(H114-$B$14)/100</f>
        <v>-5.5699999999999646E-2</v>
      </c>
      <c r="E114" s="11">
        <f t="shared" ca="1" si="19"/>
        <v>7.6592329129048737</v>
      </c>
      <c r="F114" s="11">
        <f t="shared" ca="1" si="20"/>
        <v>9.3258734068513149E-15</v>
      </c>
      <c r="G114" s="11">
        <f ca="1">IF(D114&gt;0,0,0.25*$B$26)</f>
        <v>6.9839079928285568E-5</v>
      </c>
      <c r="H114" s="4">
        <v>148.00000000000003</v>
      </c>
      <c r="I114" t="str">
        <f>($I$29&amp;" "&amp;H114&amp;" COMB Curncy")</f>
        <v>3BV5C 148 COMB Curncy</v>
      </c>
      <c r="J114" s="35">
        <f ca="1">-1*CGBlackScholes("t","c",B$14,H114,$B$24/365,$B$16,$B$15,B114)/100</f>
        <v>7.9000101755690187E-5</v>
      </c>
      <c r="K114" s="35">
        <f t="shared" ca="1" si="53"/>
        <v>0</v>
      </c>
      <c r="L114" s="57">
        <f ca="1">CGBlackScholes("g","c",B$14,H114,$B$24/365,$B$16,$B$15,B114)</f>
        <v>1.1338455501933419E-2</v>
      </c>
      <c r="M114" s="40">
        <f ca="1">((M115+M116)/2)/$B$24</f>
        <v>8.3190690824656086E-17</v>
      </c>
      <c r="N114" s="51">
        <f ca="1">(MIN($J114,$M114) - $B$22*$B$23/10000*$F114)*10000</f>
        <v>-2.8719790057559692E-13</v>
      </c>
      <c r="O114" s="43" t="str">
        <f>ROUND((($M116*10000)+$B$23),0)&amp;" ticks"</f>
        <v>20 ticks</v>
      </c>
      <c r="P114" s="54">
        <f>SUM(Q113:AL113)</f>
        <v>0</v>
      </c>
      <c r="Q114" s="33" t="e">
        <f t="shared" ref="Q114:AL114" ca="1" si="61">(MIN(($J114+Q$24),($M114+Q$29))- $B$26 - (($B$22*$B$26)*MAX($F114,Q$20))-($G114+Q$21))* 10000</f>
        <v>#VALUE!</v>
      </c>
      <c r="R114" s="33" t="e">
        <f t="shared" ca="1" si="61"/>
        <v>#VALUE!</v>
      </c>
      <c r="S114" s="33" t="e">
        <f t="shared" ca="1" si="61"/>
        <v>#VALUE!</v>
      </c>
      <c r="T114" s="33" t="e">
        <f t="shared" ca="1" si="61"/>
        <v>#VALUE!</v>
      </c>
      <c r="U114" s="33" t="e">
        <f t="shared" ca="1" si="61"/>
        <v>#VALUE!</v>
      </c>
      <c r="V114" s="33" t="e">
        <f t="shared" ca="1" si="61"/>
        <v>#VALUE!</v>
      </c>
      <c r="W114" s="33" t="e">
        <f t="shared" ca="1" si="61"/>
        <v>#VALUE!</v>
      </c>
      <c r="X114" s="33" t="e">
        <f t="shared" ca="1" si="61"/>
        <v>#VALUE!</v>
      </c>
      <c r="Y114" s="33">
        <f t="shared" ca="1" si="61"/>
        <v>-3.032078039779079</v>
      </c>
      <c r="Z114" s="33">
        <f t="shared" ca="1" si="61"/>
        <v>-2.6225215019180164</v>
      </c>
      <c r="AA114" s="33">
        <f t="shared" ca="1" si="61"/>
        <v>-2.2934083424402996</v>
      </c>
      <c r="AB114" s="33">
        <f t="shared" ca="1" si="61"/>
        <v>-2.088632332225417</v>
      </c>
      <c r="AC114" s="33">
        <f t="shared" ca="1" si="61"/>
        <v>-3.2567054582473181</v>
      </c>
      <c r="AD114" s="33">
        <f t="shared" ca="1" si="61"/>
        <v>-9.3912512380549895</v>
      </c>
      <c r="AE114" s="33">
        <f t="shared" ca="1" si="61"/>
        <v>-4.9940489015163267</v>
      </c>
      <c r="AF114" s="33">
        <f t="shared" ca="1" si="61"/>
        <v>-2.9233247455980531</v>
      </c>
      <c r="AG114" s="33">
        <f t="shared" ca="1" si="61"/>
        <v>-2.4339677371629542</v>
      </c>
      <c r="AH114" s="33">
        <f t="shared" ca="1" si="61"/>
        <v>-3.0210942410068928</v>
      </c>
      <c r="AI114" s="33">
        <f t="shared" ca="1" si="61"/>
        <v>-3.5035946094628718</v>
      </c>
      <c r="AJ114" s="33">
        <f t="shared" ca="1" si="61"/>
        <v>-3.7255333179912276</v>
      </c>
      <c r="AK114" s="33">
        <f t="shared" ca="1" si="61"/>
        <v>-3.957581368678206</v>
      </c>
      <c r="AL114" s="33">
        <f t="shared" ca="1" si="61"/>
        <v>-4.0739472389897964</v>
      </c>
    </row>
    <row r="115" spans="1:38" s="23" customFormat="1">
      <c r="H115" s="22"/>
      <c r="J115" s="36"/>
      <c r="K115" s="35">
        <f t="shared" si="53"/>
        <v>0</v>
      </c>
      <c r="L115" s="59" t="s">
        <v>60</v>
      </c>
      <c r="M115" s="40">
        <f>IF(D114&gt;0,_xll.BDP(I114,"BID")/100,(_xll.BDP(I114,"BID")/100)+D114)</f>
        <v>-7.9999999999964128E-4</v>
      </c>
      <c r="N115" s="51"/>
      <c r="O115" s="43"/>
      <c r="P115" s="53"/>
      <c r="Q115" s="34">
        <f>Q$15+$A114</f>
        <v>-0.98997999999999997</v>
      </c>
      <c r="R115" s="34">
        <f t="shared" ref="R115:AL115" si="62">R$15+$A114</f>
        <v>-0.98930899999999999</v>
      </c>
      <c r="S115" s="34">
        <f t="shared" si="62"/>
        <v>-0.98851900000000004</v>
      </c>
      <c r="T115" s="34">
        <f t="shared" si="62"/>
        <v>-0.98768199999999995</v>
      </c>
      <c r="U115" s="34">
        <f t="shared" si="62"/>
        <v>-0.98677999999999999</v>
      </c>
      <c r="V115" s="34">
        <f t="shared" si="62"/>
        <v>-0.98554699999999995</v>
      </c>
      <c r="W115" s="34">
        <f t="shared" si="62"/>
        <v>-0.97303499999999998</v>
      </c>
      <c r="X115" s="34">
        <f t="shared" si="62"/>
        <v>-0.97004599999999996</v>
      </c>
      <c r="Y115" s="34">
        <f t="shared" si="62"/>
        <v>-0.97964499999999999</v>
      </c>
      <c r="Z115" s="34">
        <f t="shared" si="62"/>
        <v>-0.93467600000000006</v>
      </c>
      <c r="AA115" s="34">
        <f t="shared" si="62"/>
        <v>-0.88761400000000001</v>
      </c>
      <c r="AB115" s="34">
        <f t="shared" si="62"/>
        <v>-0.79646899999999998</v>
      </c>
      <c r="AC115" s="34">
        <f t="shared" si="62"/>
        <v>-0.673655</v>
      </c>
      <c r="AD115" s="34">
        <f t="shared" si="62"/>
        <v>-0.52092099999999997</v>
      </c>
      <c r="AE115" s="34">
        <f t="shared" si="62"/>
        <v>-0.37355499999999997</v>
      </c>
      <c r="AF115" s="34">
        <f t="shared" si="62"/>
        <v>-0.24183500000000002</v>
      </c>
      <c r="AG115" s="34">
        <f t="shared" si="62"/>
        <v>-0.14094099999999998</v>
      </c>
      <c r="AH115" s="34">
        <f t="shared" si="62"/>
        <v>-9.5698999999999979E-2</v>
      </c>
      <c r="AI115" s="34">
        <f t="shared" si="62"/>
        <v>-6.0494999999999965E-2</v>
      </c>
      <c r="AJ115" s="34">
        <f t="shared" si="62"/>
        <v>-4.2906E-2</v>
      </c>
      <c r="AK115" s="34">
        <f t="shared" si="62"/>
        <v>-2.8734999999999955E-2</v>
      </c>
      <c r="AL115" s="34">
        <f t="shared" si="62"/>
        <v>-2.103900000000003E-2</v>
      </c>
    </row>
    <row r="116" spans="1:38" s="4" customFormat="1" ht="12.75" thickBot="1">
      <c r="A116" s="19"/>
      <c r="B116" s="3"/>
      <c r="C116" s="3"/>
      <c r="D116" s="20"/>
      <c r="E116" s="20"/>
      <c r="F116" s="20"/>
      <c r="G116" s="20"/>
      <c r="J116" s="35"/>
      <c r="K116" s="35">
        <f t="shared" si="53"/>
        <v>0</v>
      </c>
      <c r="L116" s="59" t="s">
        <v>61</v>
      </c>
      <c r="M116" s="40">
        <f>IF(D114&gt;0,_xll.BDP(I114,"ASK")/100,(_xll.BDP(I114,"ASK")/100)+D114)</f>
        <v>8.0000000000035598E-4</v>
      </c>
      <c r="N116" s="50"/>
      <c r="O116" s="43"/>
      <c r="P116" s="53"/>
      <c r="Q116" s="28" t="str">
        <f>$H114&amp;$H$29&amp;"_"&amp;Q$22&amp;$P$22</f>
        <v>148C_147P</v>
      </c>
      <c r="R116" s="28" t="str">
        <f>$H114&amp;$H$29&amp;"_"&amp;R$22&amp;$P$22</f>
        <v>148C_147.5P</v>
      </c>
      <c r="S116" s="28" t="str">
        <f>$H114&amp;$H$29&amp;"_"&amp;S$22&amp;$P$22</f>
        <v>148C_148P</v>
      </c>
      <c r="T116" s="28" t="str">
        <f>$H114&amp;$H$29&amp;"_"&amp;T$22&amp;$P$22</f>
        <v>148C_148.5P</v>
      </c>
      <c r="U116" s="28" t="str">
        <f>$H114&amp;$H$29&amp;"_"&amp;U$22&amp;$P$22</f>
        <v>148C_149P</v>
      </c>
      <c r="V116" s="28" t="str">
        <f>$H114&amp;$H$29&amp;"_"&amp;V$22&amp;$P$22</f>
        <v>148C_149.5P</v>
      </c>
      <c r="W116" s="28" t="str">
        <f>$H114&amp;$H$29&amp;"_"&amp;W$22&amp;$P$22</f>
        <v>148C_150P</v>
      </c>
      <c r="X116" s="28" t="str">
        <f>$H114&amp;$H$29&amp;"_"&amp;X$22&amp;$P$22</f>
        <v>148C_150.5P</v>
      </c>
      <c r="Y116" s="28" t="str">
        <f>$H114&amp;$H$29&amp;"_"&amp;Y$22&amp;$P$22</f>
        <v>148C_151P</v>
      </c>
      <c r="Z116" s="28" t="str">
        <f>$H114&amp;$H$29&amp;"_"&amp;Z$22&amp;$P$22</f>
        <v>148C_151.5P</v>
      </c>
      <c r="AA116" s="28" t="str">
        <f>$H114&amp;$H$29&amp;"_"&amp;AA$22&amp;$P$22</f>
        <v>148C_152P</v>
      </c>
      <c r="AB116" s="28" t="str">
        <f>$H114&amp;$H$29&amp;"_"&amp;AB$22&amp;$P$22</f>
        <v>148C_152.5P</v>
      </c>
      <c r="AC116" s="28" t="str">
        <f>$H114&amp;$H$29&amp;"_"&amp;AC$22&amp;$P$22</f>
        <v>148C_153P</v>
      </c>
      <c r="AD116" s="28" t="str">
        <f>$H114&amp;$H$29&amp;"_"&amp;AD$22&amp;$P$22</f>
        <v>148C_153.5P</v>
      </c>
      <c r="AE116" s="28" t="str">
        <f>$H114&amp;$H$29&amp;"_"&amp;AE$22&amp;$P$22</f>
        <v>148C_154P</v>
      </c>
      <c r="AF116" s="28" t="str">
        <f>$H114&amp;$H$29&amp;"_"&amp;AF$22&amp;$P$22</f>
        <v>148C_154.5P</v>
      </c>
      <c r="AG116" s="28" t="str">
        <f>$H114&amp;$H$29&amp;"_"&amp;AG$22&amp;$P$22</f>
        <v>148C_155P</v>
      </c>
      <c r="AH116" s="28" t="str">
        <f>$H114&amp;$H$29&amp;"_"&amp;AH$22&amp;$P$22</f>
        <v>148C_155.5P</v>
      </c>
      <c r="AI116" s="28" t="str">
        <f>$H114&amp;$H$29&amp;"_"&amp;AI$22&amp;$P$22</f>
        <v>148C_156P</v>
      </c>
      <c r="AJ116" s="28" t="str">
        <f>$H114&amp;$H$29&amp;"_"&amp;AJ$22&amp;$P$22</f>
        <v>148C_156.5P</v>
      </c>
      <c r="AK116" s="28" t="str">
        <f>$H114&amp;$H$29&amp;"_"&amp;AK$22&amp;$P$22</f>
        <v>148C_157P</v>
      </c>
      <c r="AL116" s="28" t="str">
        <f>$H114&amp;$H$29&amp;"_"&amp;AL$22&amp;$P$22</f>
        <v>148C_157.5P</v>
      </c>
    </row>
    <row r="117" spans="1:38" s="4" customFormat="1" ht="12.75" thickTop="1">
      <c r="A117" s="19"/>
      <c r="B117" s="3"/>
      <c r="C117" s="3"/>
      <c r="D117" s="20"/>
      <c r="E117" s="20"/>
      <c r="F117" s="20"/>
      <c r="G117" s="20"/>
      <c r="J117" s="35"/>
      <c r="K117" s="35">
        <f t="shared" si="53"/>
        <v>0</v>
      </c>
      <c r="L117" s="57"/>
      <c r="M117" s="40"/>
      <c r="N117" s="51"/>
      <c r="O117" s="43"/>
      <c r="P117" s="53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</row>
    <row r="118" spans="1:38">
      <c r="A118" s="16">
        <f>_xll.BDP($I118, A$29)/-1</f>
        <v>-1</v>
      </c>
      <c r="B118" s="12">
        <f>_xll.BDP($I118, B$29)/100</f>
        <v>0.16037218</v>
      </c>
      <c r="C118" s="6">
        <f ca="1">B118*(MIN(SQRT(1/365),(SQRT(($B$24/365)))))</f>
        <v>8.394263552994382E-3</v>
      </c>
      <c r="D118" s="11">
        <f>(H118-$B$14)/100</f>
        <v>-6.0699999999999935E-2</v>
      </c>
      <c r="E118" s="11">
        <f t="shared" ca="1" si="19"/>
        <v>8.3467762623577784</v>
      </c>
      <c r="F118" s="11">
        <f t="shared" ca="1" si="20"/>
        <v>0</v>
      </c>
      <c r="G118" s="11">
        <f ca="1">IF(D118&gt;0,0,0.25*$B$26)</f>
        <v>6.9839079928285568E-5</v>
      </c>
      <c r="H118" s="4">
        <v>147.5</v>
      </c>
      <c r="I118" t="str">
        <f>($I$29&amp;" "&amp;H118&amp;" COMB Curncy")</f>
        <v>3BV5C 147.5 COMB Curncy</v>
      </c>
      <c r="J118" s="35">
        <f ca="1">-1*CGBlackScholes("t","c",B$14,H118,$B$24/365,$B$16,$B$15,B118)/100</f>
        <v>8.1140278856205175E-5</v>
      </c>
      <c r="K118" s="35">
        <f t="shared" ca="1" si="53"/>
        <v>0</v>
      </c>
      <c r="L118" s="57">
        <f ca="1">CGBlackScholes("g","c",B$14,H118,$B$24/365,$B$16,$B$15,B118)</f>
        <v>9.9657886114428735E-3</v>
      </c>
      <c r="M118" s="40">
        <f ca="1">((M119+M120)/2)/$B$24</f>
        <v>1.6153532198962349E-17</v>
      </c>
      <c r="N118" s="51">
        <f ca="1">(MIN($J118,$M118) - $B$22*$B$23/10000*$F118)*10000</f>
        <v>1.615353219896235E-13</v>
      </c>
      <c r="O118" s="43" t="str">
        <f>ROUND((($M120*10000)+$B$23),0)&amp;" ticks"</f>
        <v>20 ticks</v>
      </c>
      <c r="P118" s="54">
        <f>SUM(Q117:AL117)</f>
        <v>0</v>
      </c>
      <c r="Q118" s="33" t="e">
        <f t="shared" ref="Q118:AL118" ca="1" si="63">(MIN(($J118+Q$24),($M118+Q$29))- $B$26 - (($B$22*$B$26)*MAX($F118,Q$20))-($G118+Q$21))* 10000</f>
        <v>#VALUE!</v>
      </c>
      <c r="R118" s="33" t="e">
        <f t="shared" ca="1" si="63"/>
        <v>#VALUE!</v>
      </c>
      <c r="S118" s="33" t="e">
        <f t="shared" ca="1" si="63"/>
        <v>#VALUE!</v>
      </c>
      <c r="T118" s="33" t="e">
        <f t="shared" ca="1" si="63"/>
        <v>#VALUE!</v>
      </c>
      <c r="U118" s="33" t="e">
        <f t="shared" ca="1" si="63"/>
        <v>#VALUE!</v>
      </c>
      <c r="V118" s="33" t="e">
        <f t="shared" ca="1" si="63"/>
        <v>#VALUE!</v>
      </c>
      <c r="W118" s="33" t="e">
        <f t="shared" ca="1" si="63"/>
        <v>#VALUE!</v>
      </c>
      <c r="X118" s="33" t="e">
        <f t="shared" ca="1" si="63"/>
        <v>#VALUE!</v>
      </c>
      <c r="Y118" s="33">
        <f t="shared" ca="1" si="63"/>
        <v>-3.0320780397797491</v>
      </c>
      <c r="Z118" s="33">
        <f t="shared" ca="1" si="63"/>
        <v>-2.6225215019186865</v>
      </c>
      <c r="AA118" s="33">
        <f t="shared" ca="1" si="63"/>
        <v>-2.2934083424409697</v>
      </c>
      <c r="AB118" s="33">
        <f t="shared" ca="1" si="63"/>
        <v>-2.0886323322260876</v>
      </c>
      <c r="AC118" s="33">
        <f t="shared" ca="1" si="63"/>
        <v>-3.2567054582479877</v>
      </c>
      <c r="AD118" s="33">
        <f t="shared" ca="1" si="63"/>
        <v>-9.3698494670498391</v>
      </c>
      <c r="AE118" s="33">
        <f t="shared" ca="1" si="63"/>
        <v>-4.9726471305111755</v>
      </c>
      <c r="AF118" s="33">
        <f t="shared" ca="1" si="63"/>
        <v>-2.9233247455987237</v>
      </c>
      <c r="AG118" s="33">
        <f t="shared" ca="1" si="63"/>
        <v>-2.4339677371636248</v>
      </c>
      <c r="AH118" s="33">
        <f t="shared" ca="1" si="63"/>
        <v>-3.021094241007563</v>
      </c>
      <c r="AI118" s="33">
        <f t="shared" ca="1" si="63"/>
        <v>-3.5035946094635424</v>
      </c>
      <c r="AJ118" s="33">
        <f t="shared" ca="1" si="63"/>
        <v>-3.7255333179918977</v>
      </c>
      <c r="AK118" s="33">
        <f t="shared" ca="1" si="63"/>
        <v>-3.9575813686788766</v>
      </c>
      <c r="AL118" s="33">
        <f t="shared" ca="1" si="63"/>
        <v>-4.073947238990467</v>
      </c>
    </row>
    <row r="119" spans="1:38" s="23" customFormat="1">
      <c r="H119" s="22"/>
      <c r="J119" s="36"/>
      <c r="K119" s="35">
        <f t="shared" si="53"/>
        <v>0</v>
      </c>
      <c r="L119" s="59" t="s">
        <v>60</v>
      </c>
      <c r="M119" s="40">
        <f>IF(D118&gt;0,_xll.BDP(I118,"BID")/100,(_xll.BDP(I118,"BID")/100)+D118)</f>
        <v>-7.9999999999993271E-4</v>
      </c>
      <c r="N119" s="51"/>
      <c r="O119" s="43"/>
      <c r="P119" s="53"/>
      <c r="Q119" s="34">
        <f>Q$15+$A118</f>
        <v>-0.98997999999999997</v>
      </c>
      <c r="R119" s="34">
        <f t="shared" ref="R119:AL119" si="64">R$15+$A118</f>
        <v>-0.98930899999999999</v>
      </c>
      <c r="S119" s="34">
        <f t="shared" si="64"/>
        <v>-0.98851900000000004</v>
      </c>
      <c r="T119" s="34">
        <f t="shared" si="64"/>
        <v>-0.98768199999999995</v>
      </c>
      <c r="U119" s="34">
        <f t="shared" si="64"/>
        <v>-0.98677999999999999</v>
      </c>
      <c r="V119" s="34">
        <f t="shared" si="64"/>
        <v>-0.98554699999999995</v>
      </c>
      <c r="W119" s="34">
        <f t="shared" si="64"/>
        <v>-0.97303499999999998</v>
      </c>
      <c r="X119" s="34">
        <f t="shared" si="64"/>
        <v>-0.97004599999999996</v>
      </c>
      <c r="Y119" s="34">
        <f t="shared" si="64"/>
        <v>-0.97964499999999999</v>
      </c>
      <c r="Z119" s="34">
        <f t="shared" si="64"/>
        <v>-0.93467600000000006</v>
      </c>
      <c r="AA119" s="34">
        <f t="shared" si="64"/>
        <v>-0.88761400000000001</v>
      </c>
      <c r="AB119" s="34">
        <f t="shared" si="64"/>
        <v>-0.79646899999999998</v>
      </c>
      <c r="AC119" s="34">
        <f t="shared" si="64"/>
        <v>-0.673655</v>
      </c>
      <c r="AD119" s="34">
        <f t="shared" si="64"/>
        <v>-0.52092099999999997</v>
      </c>
      <c r="AE119" s="34">
        <f t="shared" si="64"/>
        <v>-0.37355499999999997</v>
      </c>
      <c r="AF119" s="34">
        <f t="shared" si="64"/>
        <v>-0.24183500000000002</v>
      </c>
      <c r="AG119" s="34">
        <f t="shared" si="64"/>
        <v>-0.14094099999999998</v>
      </c>
      <c r="AH119" s="34">
        <f t="shared" si="64"/>
        <v>-9.5698999999999979E-2</v>
      </c>
      <c r="AI119" s="34">
        <f t="shared" si="64"/>
        <v>-6.0494999999999965E-2</v>
      </c>
      <c r="AJ119" s="34">
        <f t="shared" si="64"/>
        <v>-4.2906E-2</v>
      </c>
      <c r="AK119" s="34">
        <f t="shared" si="64"/>
        <v>-2.8734999999999955E-2</v>
      </c>
      <c r="AL119" s="34">
        <f t="shared" si="64"/>
        <v>-2.103900000000003E-2</v>
      </c>
    </row>
    <row r="120" spans="1:38" s="4" customFormat="1" ht="12.75" thickBot="1">
      <c r="A120" s="19"/>
      <c r="B120" s="3"/>
      <c r="C120" s="3"/>
      <c r="D120" s="20"/>
      <c r="E120" s="20"/>
      <c r="F120" s="20"/>
      <c r="G120" s="20"/>
      <c r="J120" s="35"/>
      <c r="K120" s="35">
        <f t="shared" si="53"/>
        <v>0</v>
      </c>
      <c r="L120" s="59" t="s">
        <v>61</v>
      </c>
      <c r="M120" s="40">
        <f>IF(D118&gt;0,_xll.BDP(I118,"ASK")/100,(_xll.BDP(I118,"ASK")/100)+D118)</f>
        <v>8.0000000000007149E-4</v>
      </c>
      <c r="N120" s="50"/>
      <c r="O120" s="43"/>
      <c r="P120" s="53"/>
      <c r="Q120" s="28" t="str">
        <f>$H118&amp;$H$29&amp;"_"&amp;Q$22&amp;$P$22</f>
        <v>147.5C_147P</v>
      </c>
      <c r="R120" s="28" t="str">
        <f>$H118&amp;$H$29&amp;"_"&amp;R$22&amp;$P$22</f>
        <v>147.5C_147.5P</v>
      </c>
      <c r="S120" s="28" t="str">
        <f>$H118&amp;$H$29&amp;"_"&amp;S$22&amp;$P$22</f>
        <v>147.5C_148P</v>
      </c>
      <c r="T120" s="28" t="str">
        <f>$H118&amp;$H$29&amp;"_"&amp;T$22&amp;$P$22</f>
        <v>147.5C_148.5P</v>
      </c>
      <c r="U120" s="28" t="str">
        <f>$H118&amp;$H$29&amp;"_"&amp;U$22&amp;$P$22</f>
        <v>147.5C_149P</v>
      </c>
      <c r="V120" s="28" t="str">
        <f>$H118&amp;$H$29&amp;"_"&amp;V$22&amp;$P$22</f>
        <v>147.5C_149.5P</v>
      </c>
      <c r="W120" s="28" t="str">
        <f>$H118&amp;$H$29&amp;"_"&amp;W$22&amp;$P$22</f>
        <v>147.5C_150P</v>
      </c>
      <c r="X120" s="28" t="str">
        <f>$H118&amp;$H$29&amp;"_"&amp;X$22&amp;$P$22</f>
        <v>147.5C_150.5P</v>
      </c>
      <c r="Y120" s="28" t="str">
        <f>$H118&amp;$H$29&amp;"_"&amp;Y$22&amp;$P$22</f>
        <v>147.5C_151P</v>
      </c>
      <c r="Z120" s="28" t="str">
        <f>$H118&amp;$H$29&amp;"_"&amp;Z$22&amp;$P$22</f>
        <v>147.5C_151.5P</v>
      </c>
      <c r="AA120" s="28" t="str">
        <f>$H118&amp;$H$29&amp;"_"&amp;AA$22&amp;$P$22</f>
        <v>147.5C_152P</v>
      </c>
      <c r="AB120" s="28" t="str">
        <f>$H118&amp;$H$29&amp;"_"&amp;AB$22&amp;$P$22</f>
        <v>147.5C_152.5P</v>
      </c>
      <c r="AC120" s="28" t="str">
        <f>$H118&amp;$H$29&amp;"_"&amp;AC$22&amp;$P$22</f>
        <v>147.5C_153P</v>
      </c>
      <c r="AD120" s="28" t="str">
        <f>$H118&amp;$H$29&amp;"_"&amp;AD$22&amp;$P$22</f>
        <v>147.5C_153.5P</v>
      </c>
      <c r="AE120" s="28" t="str">
        <f>$H118&amp;$H$29&amp;"_"&amp;AE$22&amp;$P$22</f>
        <v>147.5C_154P</v>
      </c>
      <c r="AF120" s="28" t="str">
        <f>$H118&amp;$H$29&amp;"_"&amp;AF$22&amp;$P$22</f>
        <v>147.5C_154.5P</v>
      </c>
      <c r="AG120" s="28" t="str">
        <f>$H118&amp;$H$29&amp;"_"&amp;AG$22&amp;$P$22</f>
        <v>147.5C_155P</v>
      </c>
      <c r="AH120" s="28" t="str">
        <f>$H118&amp;$H$29&amp;"_"&amp;AH$22&amp;$P$22</f>
        <v>147.5C_155.5P</v>
      </c>
      <c r="AI120" s="28" t="str">
        <f>$H118&amp;$H$29&amp;"_"&amp;AI$22&amp;$P$22</f>
        <v>147.5C_156P</v>
      </c>
      <c r="AJ120" s="28" t="str">
        <f>$H118&amp;$H$29&amp;"_"&amp;AJ$22&amp;$P$22</f>
        <v>147.5C_156.5P</v>
      </c>
      <c r="AK120" s="28" t="str">
        <f>$H118&amp;$H$29&amp;"_"&amp;AK$22&amp;$P$22</f>
        <v>147.5C_157P</v>
      </c>
      <c r="AL120" s="28" t="str">
        <f>$H118&amp;$H$29&amp;"_"&amp;AL$22&amp;$P$22</f>
        <v>147.5C_157.5P</v>
      </c>
    </row>
    <row r="121" spans="1:38" s="4" customFormat="1" ht="12.75" thickTop="1">
      <c r="A121" s="19"/>
      <c r="B121" s="3"/>
      <c r="C121" s="3"/>
      <c r="D121" s="20"/>
      <c r="E121" s="20"/>
      <c r="F121" s="20"/>
      <c r="G121" s="20"/>
      <c r="J121" s="35"/>
      <c r="K121" s="35">
        <f t="shared" si="53"/>
        <v>0</v>
      </c>
      <c r="L121" s="57"/>
      <c r="M121" s="40"/>
      <c r="N121" s="51"/>
      <c r="O121" s="43"/>
      <c r="P121" s="53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</row>
    <row r="122" spans="1:38">
      <c r="A122" s="16">
        <f>_xll.BDP($I122, A$29)/-1</f>
        <v>-1</v>
      </c>
      <c r="B122" s="12">
        <f>_xll.BDP($I122, B$29)/100</f>
        <v>0.17241610999999998</v>
      </c>
      <c r="C122" s="6">
        <f ca="1">B122*(MIN(SQRT(1/365),(SQRT(($B$24/365)))))</f>
        <v>9.024671661394576E-3</v>
      </c>
      <c r="D122" s="11">
        <f>(H122-$B$14)/100</f>
        <v>-6.5699999999999925E-2</v>
      </c>
      <c r="E122" s="11">
        <f t="shared" ca="1" si="19"/>
        <v>9.034319611810643</v>
      </c>
      <c r="F122" s="11">
        <f t="shared" ca="1" si="20"/>
        <v>0</v>
      </c>
      <c r="G122" s="11">
        <f ca="1">IF(D122&gt;0,0,0.25*$B$26)</f>
        <v>6.9839079928285568E-5</v>
      </c>
      <c r="H122" s="4">
        <v>147</v>
      </c>
      <c r="I122" t="str">
        <f>($I$29&amp;" "&amp;H122&amp;" COMB Curncy")</f>
        <v>3BV5C 147 COMB Curncy</v>
      </c>
      <c r="J122" s="35">
        <f ca="1">-1*CGBlackScholes("t","c",B$14,H122,$B$24/365,$B$16,$B$15,B122)/100</f>
        <v>8.3103174423432329E-5</v>
      </c>
      <c r="K122" s="35">
        <f t="shared" ca="1" si="53"/>
        <v>0</v>
      </c>
      <c r="L122" s="57">
        <f ca="1">CGBlackScholes("g","c",B$14,H122,$B$24/365,$B$16,$B$15,B122)</f>
        <v>8.8407713294755223E-3</v>
      </c>
      <c r="M122" s="40">
        <f ca="1">((M123+M124)/2)/$B$24</f>
        <v>1.7768885418858582E-17</v>
      </c>
      <c r="N122" s="51">
        <f ca="1">(MIN($J122,$M122) - $B$22*$B$23/10000*$F122)*10000</f>
        <v>1.7768885418858581E-13</v>
      </c>
      <c r="O122" s="43" t="str">
        <f>ROUND((($M124*10000)+$B$23),0)&amp;" ticks"</f>
        <v>20 ticks</v>
      </c>
      <c r="P122" s="54">
        <f>SUM(Q121:AL121)</f>
        <v>0</v>
      </c>
      <c r="Q122" s="33" t="e">
        <f t="shared" ref="Q122:AL122" ca="1" si="65">(MIN(($J122+Q$24),($M122+Q$29))- $B$26 - (($B$22*$B$26)*MAX($F122,Q$20))-($G122+Q$21))* 10000</f>
        <v>#VALUE!</v>
      </c>
      <c r="R122" s="33" t="e">
        <f t="shared" ca="1" si="65"/>
        <v>#VALUE!</v>
      </c>
      <c r="S122" s="33" t="e">
        <f t="shared" ca="1" si="65"/>
        <v>#VALUE!</v>
      </c>
      <c r="T122" s="33" t="e">
        <f t="shared" ca="1" si="65"/>
        <v>#VALUE!</v>
      </c>
      <c r="U122" s="33" t="e">
        <f t="shared" ca="1" si="65"/>
        <v>#VALUE!</v>
      </c>
      <c r="V122" s="33" t="e">
        <f t="shared" ca="1" si="65"/>
        <v>#VALUE!</v>
      </c>
      <c r="W122" s="33" t="e">
        <f t="shared" ca="1" si="65"/>
        <v>#VALUE!</v>
      </c>
      <c r="X122" s="33" t="e">
        <f t="shared" ca="1" si="65"/>
        <v>#VALUE!</v>
      </c>
      <c r="Y122" s="33">
        <f t="shared" ca="1" si="65"/>
        <v>-3.0320780397797327</v>
      </c>
      <c r="Z122" s="33">
        <f t="shared" ca="1" si="65"/>
        <v>-2.6225215019186701</v>
      </c>
      <c r="AA122" s="33">
        <f t="shared" ca="1" si="65"/>
        <v>-2.2934083424409537</v>
      </c>
      <c r="AB122" s="33">
        <f t="shared" ca="1" si="65"/>
        <v>-2.0886323322260711</v>
      </c>
      <c r="AC122" s="33">
        <f t="shared" ca="1" si="65"/>
        <v>-3.2567054582479718</v>
      </c>
      <c r="AD122" s="33">
        <f t="shared" ca="1" si="65"/>
        <v>-9.350220511377568</v>
      </c>
      <c r="AE122" s="33">
        <f t="shared" ca="1" si="65"/>
        <v>-4.9530181748389053</v>
      </c>
      <c r="AF122" s="33">
        <f t="shared" ca="1" si="65"/>
        <v>-2.9233247455987077</v>
      </c>
      <c r="AG122" s="33">
        <f t="shared" ca="1" si="65"/>
        <v>-2.4339677371636084</v>
      </c>
      <c r="AH122" s="33">
        <f t="shared" ca="1" si="65"/>
        <v>-3.021094241007547</v>
      </c>
      <c r="AI122" s="33">
        <f t="shared" ca="1" si="65"/>
        <v>-3.503594609463526</v>
      </c>
      <c r="AJ122" s="33">
        <f t="shared" ca="1" si="65"/>
        <v>-3.7255333179918813</v>
      </c>
      <c r="AK122" s="33">
        <f t="shared" ca="1" si="65"/>
        <v>-3.9575813686788601</v>
      </c>
      <c r="AL122" s="33">
        <f t="shared" ca="1" si="65"/>
        <v>-4.073947238990451</v>
      </c>
    </row>
    <row r="123" spans="1:38" s="10" customFormat="1">
      <c r="A123" s="21"/>
      <c r="H123" s="21"/>
      <c r="J123" s="37"/>
      <c r="K123" s="35">
        <f t="shared" si="53"/>
        <v>0</v>
      </c>
      <c r="L123" s="59" t="s">
        <v>60</v>
      </c>
      <c r="M123" s="40">
        <f>IF(D122&gt;0,_xll.BDP(I122,"BID")/100,(_xll.BDP(I122,"BID")/100)+D122)</f>
        <v>-7.9999999999992577E-4</v>
      </c>
      <c r="N123" s="51"/>
      <c r="O123" s="43"/>
      <c r="P123" s="53"/>
      <c r="Q123" s="34">
        <f>Q$15+$A122</f>
        <v>-0.98997999999999997</v>
      </c>
      <c r="R123" s="34">
        <f t="shared" ref="R123:AL123" si="66">R$15+$A122</f>
        <v>-0.98930899999999999</v>
      </c>
      <c r="S123" s="34">
        <f t="shared" si="66"/>
        <v>-0.98851900000000004</v>
      </c>
      <c r="T123" s="34">
        <f t="shared" si="66"/>
        <v>-0.98768199999999995</v>
      </c>
      <c r="U123" s="34">
        <f t="shared" si="66"/>
        <v>-0.98677999999999999</v>
      </c>
      <c r="V123" s="34">
        <f t="shared" si="66"/>
        <v>-0.98554699999999995</v>
      </c>
      <c r="W123" s="34">
        <f t="shared" si="66"/>
        <v>-0.97303499999999998</v>
      </c>
      <c r="X123" s="34">
        <f t="shared" si="66"/>
        <v>-0.97004599999999996</v>
      </c>
      <c r="Y123" s="34">
        <f t="shared" si="66"/>
        <v>-0.97964499999999999</v>
      </c>
      <c r="Z123" s="34">
        <f t="shared" si="66"/>
        <v>-0.93467600000000006</v>
      </c>
      <c r="AA123" s="34">
        <f t="shared" si="66"/>
        <v>-0.88761400000000001</v>
      </c>
      <c r="AB123" s="34">
        <f t="shared" si="66"/>
        <v>-0.79646899999999998</v>
      </c>
      <c r="AC123" s="34">
        <f t="shared" si="66"/>
        <v>-0.673655</v>
      </c>
      <c r="AD123" s="34">
        <f t="shared" si="66"/>
        <v>-0.52092099999999997</v>
      </c>
      <c r="AE123" s="34">
        <f t="shared" si="66"/>
        <v>-0.37355499999999997</v>
      </c>
      <c r="AF123" s="34">
        <f t="shared" si="66"/>
        <v>-0.24183500000000002</v>
      </c>
      <c r="AG123" s="34">
        <f t="shared" si="66"/>
        <v>-0.14094099999999998</v>
      </c>
      <c r="AH123" s="34">
        <f t="shared" si="66"/>
        <v>-9.5698999999999979E-2</v>
      </c>
      <c r="AI123" s="34">
        <f t="shared" si="66"/>
        <v>-6.0494999999999965E-2</v>
      </c>
      <c r="AJ123" s="34">
        <f t="shared" si="66"/>
        <v>-4.2906E-2</v>
      </c>
      <c r="AK123" s="34">
        <f t="shared" si="66"/>
        <v>-2.8734999999999955E-2</v>
      </c>
      <c r="AL123" s="34">
        <f t="shared" si="66"/>
        <v>-2.103900000000003E-2</v>
      </c>
    </row>
    <row r="124" spans="1:38" s="4" customFormat="1" ht="12.75" thickBot="1">
      <c r="J124" s="38"/>
      <c r="K124" s="35">
        <f t="shared" si="53"/>
        <v>0</v>
      </c>
      <c r="L124" s="59" t="s">
        <v>61</v>
      </c>
      <c r="M124" s="40">
        <f>IF(D122&gt;0,_xll.BDP(I122,"ASK")/100,(_xll.BDP(I122,"ASK")/100)+D122)</f>
        <v>8.0000000000007843E-4</v>
      </c>
      <c r="N124" s="50"/>
      <c r="O124" s="43"/>
      <c r="P124" s="53"/>
      <c r="Q124" s="28" t="str">
        <f>$H122&amp;$H$29&amp;"_"&amp;Q$22&amp;$P$22</f>
        <v>147C_147P</v>
      </c>
      <c r="R124" s="28" t="str">
        <f>$H122&amp;$H$29&amp;"_"&amp;R$22&amp;$P$22</f>
        <v>147C_147.5P</v>
      </c>
      <c r="S124" s="28" t="str">
        <f>$H122&amp;$H$29&amp;"_"&amp;S$22&amp;$P$22</f>
        <v>147C_148P</v>
      </c>
      <c r="T124" s="28" t="str">
        <f>$H122&amp;$H$29&amp;"_"&amp;T$22&amp;$P$22</f>
        <v>147C_148.5P</v>
      </c>
      <c r="U124" s="28" t="str">
        <f>$H122&amp;$H$29&amp;"_"&amp;U$22&amp;$P$22</f>
        <v>147C_149P</v>
      </c>
      <c r="V124" s="28" t="str">
        <f>$H122&amp;$H$29&amp;"_"&amp;V$22&amp;$P$22</f>
        <v>147C_149.5P</v>
      </c>
      <c r="W124" s="28" t="str">
        <f>$H122&amp;$H$29&amp;"_"&amp;W$22&amp;$P$22</f>
        <v>147C_150P</v>
      </c>
      <c r="X124" s="28" t="str">
        <f>$H122&amp;$H$29&amp;"_"&amp;X$22&amp;$P$22</f>
        <v>147C_150.5P</v>
      </c>
      <c r="Y124" s="28" t="str">
        <f>$H122&amp;$H$29&amp;"_"&amp;Y$22&amp;$P$22</f>
        <v>147C_151P</v>
      </c>
      <c r="Z124" s="28" t="str">
        <f>$H122&amp;$H$29&amp;"_"&amp;Z$22&amp;$P$22</f>
        <v>147C_151.5P</v>
      </c>
      <c r="AA124" s="28" t="str">
        <f>$H122&amp;$H$29&amp;"_"&amp;AA$22&amp;$P$22</f>
        <v>147C_152P</v>
      </c>
      <c r="AB124" s="28" t="str">
        <f>$H122&amp;$H$29&amp;"_"&amp;AB$22&amp;$P$22</f>
        <v>147C_152.5P</v>
      </c>
      <c r="AC124" s="28" t="str">
        <f>$H122&amp;$H$29&amp;"_"&amp;AC$22&amp;$P$22</f>
        <v>147C_153P</v>
      </c>
      <c r="AD124" s="28" t="str">
        <f>$H122&amp;$H$29&amp;"_"&amp;AD$22&amp;$P$22</f>
        <v>147C_153.5P</v>
      </c>
      <c r="AE124" s="28" t="str">
        <f>$H122&amp;$H$29&amp;"_"&amp;AE$22&amp;$P$22</f>
        <v>147C_154P</v>
      </c>
      <c r="AF124" s="28" t="str">
        <f>$H122&amp;$H$29&amp;"_"&amp;AF$22&amp;$P$22</f>
        <v>147C_154.5P</v>
      </c>
      <c r="AG124" s="28" t="str">
        <f>$H122&amp;$H$29&amp;"_"&amp;AG$22&amp;$P$22</f>
        <v>147C_155P</v>
      </c>
      <c r="AH124" s="28" t="str">
        <f>$H122&amp;$H$29&amp;"_"&amp;AH$22&amp;$P$22</f>
        <v>147C_155.5P</v>
      </c>
      <c r="AI124" s="28" t="str">
        <f>$H122&amp;$H$29&amp;"_"&amp;AI$22&amp;$P$22</f>
        <v>147C_156P</v>
      </c>
      <c r="AJ124" s="28" t="str">
        <f>$H122&amp;$H$29&amp;"_"&amp;AJ$22&amp;$P$22</f>
        <v>147C_156.5P</v>
      </c>
      <c r="AK124" s="28" t="str">
        <f>$H122&amp;$H$29&amp;"_"&amp;AK$22&amp;$P$22</f>
        <v>147C_157P</v>
      </c>
      <c r="AL124" s="28" t="str">
        <f>$H122&amp;$H$29&amp;"_"&amp;AL$22&amp;$P$22</f>
        <v>147C_157.5P</v>
      </c>
    </row>
    <row r="125" spans="1:38" ht="12.75" thickTop="1"/>
    <row r="151" spans="2:20">
      <c r="H151" s="4" t="s">
        <v>20</v>
      </c>
    </row>
    <row r="152" spans="2:20">
      <c r="H152" s="4" t="s">
        <v>21</v>
      </c>
      <c r="L152" s="61" t="s">
        <v>19</v>
      </c>
      <c r="M152" s="62">
        <f>_xll.BDP($A$161,$B$161)</f>
        <v>153.57</v>
      </c>
      <c r="T152" t="s">
        <v>0</v>
      </c>
    </row>
    <row r="153" spans="2:20">
      <c r="H153" s="4" t="s">
        <v>67</v>
      </c>
      <c r="L153" s="61" t="s">
        <v>97</v>
      </c>
      <c r="M153" s="14" t="s">
        <v>59</v>
      </c>
      <c r="T153" t="s">
        <v>0</v>
      </c>
    </row>
    <row r="154" spans="2:20">
      <c r="H154" s="4" t="s">
        <v>69</v>
      </c>
      <c r="L154" s="61" t="s">
        <v>97</v>
      </c>
      <c r="M154" s="14" t="s">
        <v>95</v>
      </c>
    </row>
    <row r="155" spans="2:20">
      <c r="H155" s="4" t="s">
        <v>68</v>
      </c>
      <c r="L155" s="15">
        <v>40838.833333333336</v>
      </c>
    </row>
    <row r="156" spans="2:20">
      <c r="H156" s="4" t="s">
        <v>70</v>
      </c>
      <c r="L156" s="15">
        <v>40838.833333333336</v>
      </c>
    </row>
    <row r="157" spans="2:20">
      <c r="L157" s="61"/>
    </row>
    <row r="158" spans="2:20">
      <c r="H158" s="4" t="s">
        <v>22</v>
      </c>
      <c r="L158" s="61">
        <v>10</v>
      </c>
    </row>
    <row r="159" spans="2:20">
      <c r="H159" s="4" t="s">
        <v>23</v>
      </c>
      <c r="L159" s="61">
        <v>12</v>
      </c>
    </row>
    <row r="160" spans="2:20">
      <c r="B160" t="s">
        <v>71</v>
      </c>
      <c r="C160" t="s">
        <v>72</v>
      </c>
    </row>
    <row r="161" spans="1:38">
      <c r="A161" t="str">
        <f>$L$2</f>
        <v>BPZ5 Curncy</v>
      </c>
      <c r="B161" t="s">
        <v>24</v>
      </c>
    </row>
    <row r="162" spans="1:38">
      <c r="A162" t="s">
        <v>5</v>
      </c>
      <c r="B162" s="1">
        <f ca="1">NOW()</f>
        <v>40827.537744097222</v>
      </c>
      <c r="C162" s="1">
        <f ca="1">NOW()</f>
        <v>40827.537744097222</v>
      </c>
      <c r="E162" s="30">
        <f>1/365</f>
        <v>2.7397260273972603E-3</v>
      </c>
      <c r="F162" s="30">
        <v>0.19858680555626052</v>
      </c>
      <c r="P162" s="42" t="s">
        <v>96</v>
      </c>
    </row>
    <row r="163" spans="1:38">
      <c r="A163" t="s">
        <v>6</v>
      </c>
      <c r="B163" s="17">
        <f>$L$155</f>
        <v>40838.833333333336</v>
      </c>
      <c r="C163" s="17">
        <f>$L$156</f>
        <v>40838.833333333336</v>
      </c>
      <c r="E163" s="30">
        <f>SQRT(1/365)</f>
        <v>5.2342392259021368E-2</v>
      </c>
      <c r="F163" s="30">
        <f>SQRT(0.2)</f>
        <v>0.44721359549995793</v>
      </c>
      <c r="J163" s="4" t="s">
        <v>0</v>
      </c>
    </row>
    <row r="164" spans="1:38">
      <c r="A164" t="s">
        <v>4</v>
      </c>
      <c r="B164">
        <f>_xll.BDP($A$11,$B$11)</f>
        <v>153.57</v>
      </c>
      <c r="C164">
        <f>_xll.BDP($A$11,$B$11)</f>
        <v>153.57</v>
      </c>
    </row>
    <row r="165" spans="1:38">
      <c r="A165" t="s">
        <v>3</v>
      </c>
      <c r="B165">
        <v>0</v>
      </c>
      <c r="C165">
        <v>0</v>
      </c>
      <c r="P165" s="42" t="s">
        <v>26</v>
      </c>
      <c r="Q165" s="16">
        <f>_xll.BDP(Q$173, $P165)/-1</f>
        <v>1.0019999999999999E-2</v>
      </c>
      <c r="R165" s="16">
        <f>_xll.BDP(R$173, $P165)/-1</f>
        <v>1.0691000000000001E-2</v>
      </c>
      <c r="S165" s="16">
        <f>_xll.BDP(S$173, $P165)/-1</f>
        <v>1.1481E-2</v>
      </c>
      <c r="T165" s="16">
        <f>_xll.BDP(T$173, $P165)/-1</f>
        <v>1.2318000000000001E-2</v>
      </c>
      <c r="U165" s="16">
        <f>_xll.BDP(U$173, $P165)/-1</f>
        <v>1.3220000000000001E-2</v>
      </c>
      <c r="V165" s="16">
        <f>_xll.BDP(V$173, $P165)/-1</f>
        <v>1.4453000000000001E-2</v>
      </c>
      <c r="W165" s="16">
        <f>_xll.BDP(W$173, $P165)/-1</f>
        <v>2.6964999999999999E-2</v>
      </c>
      <c r="X165" s="16">
        <f>_xll.BDP(X$173, $P165)/-1</f>
        <v>2.9954000000000001E-2</v>
      </c>
      <c r="Y165" s="16">
        <f>_xll.BDP(Y$173, $P165)/-1</f>
        <v>2.0355000000000002E-2</v>
      </c>
      <c r="Z165" s="16">
        <f>_xll.BDP(Z$173, $P165)/-1</f>
        <v>6.5323999999999993E-2</v>
      </c>
      <c r="AA165" s="16">
        <f>_xll.BDP(AA$173, $P165)/-1</f>
        <v>0.112386</v>
      </c>
      <c r="AB165" s="16">
        <f>_xll.BDP(AB$173, $P165)/-1</f>
        <v>0.20353099999999999</v>
      </c>
      <c r="AC165" s="16">
        <f>_xll.BDP(AC$173, $P165)/-1</f>
        <v>0.326345</v>
      </c>
      <c r="AD165" s="16">
        <f>_xll.BDP(AD$173, $P165)/-1</f>
        <v>0.47907899999999998</v>
      </c>
      <c r="AE165" s="16">
        <f>_xll.BDP(AE$173, $P165)/-1</f>
        <v>0.62644500000000003</v>
      </c>
      <c r="AF165" s="16">
        <f>_xll.BDP(AF$173, $P165)/-1</f>
        <v>0.75816499999999998</v>
      </c>
      <c r="AG165" s="16">
        <f>_xll.BDP(AG$173, $P165)/-1</f>
        <v>0.85905900000000002</v>
      </c>
      <c r="AH165" s="16">
        <f>_xll.BDP(AH$173, $P165)/-1</f>
        <v>0.90430100000000002</v>
      </c>
      <c r="AI165" s="16">
        <f>_xll.BDP(AI$173, $P165)/-1</f>
        <v>0.93950500000000003</v>
      </c>
      <c r="AJ165" s="16">
        <f>_xll.BDP(AJ$173, $P165)/-1</f>
        <v>0.957094</v>
      </c>
      <c r="AK165" s="16">
        <f>_xll.BDP(AK$173, $P165)/-1</f>
        <v>0.97126500000000004</v>
      </c>
      <c r="AL165" s="16">
        <f>_xll.BDP(AL$173, $P165)/-1</f>
        <v>0.97896099999999997</v>
      </c>
    </row>
    <row r="166" spans="1:38">
      <c r="A166" t="s">
        <v>2</v>
      </c>
      <c r="B166">
        <v>0.01</v>
      </c>
      <c r="C166">
        <v>0.01</v>
      </c>
      <c r="P166" s="42" t="s">
        <v>25</v>
      </c>
      <c r="Q166" s="12">
        <f>_xll.BDP(Q$173, $P166)/100</f>
        <v>0.18451069</v>
      </c>
      <c r="R166" s="12">
        <f>_xll.BDP(R$173, $P166)/100</f>
        <v>0.17526269999999999</v>
      </c>
      <c r="S166" s="12">
        <f>_xll.BDP(S$173, $P166)/100</f>
        <v>0.15888185999999999</v>
      </c>
      <c r="T166" s="12">
        <f>_xll.BDP(T$173, $P166)/100</f>
        <v>0.14945693999999998</v>
      </c>
      <c r="U166" s="12">
        <f>_xll.BDP(U$173, $P166)/100</f>
        <v>0.13635097999999998</v>
      </c>
      <c r="V166" s="12">
        <f>_xll.BDP(V$173, $P166)/100</f>
        <v>0.12312648</v>
      </c>
      <c r="W166" s="12">
        <f>_xll.BDP(W$173, $P166)/100</f>
        <v>0.12276263999999999</v>
      </c>
      <c r="X166" s="12">
        <f>_xll.BDP(X$173, $P166)/100</f>
        <v>0.1082128</v>
      </c>
      <c r="Y166" s="12">
        <f>_xll.BDP(Y$173, $P166)/100</f>
        <v>8.2244770000000009E-2</v>
      </c>
      <c r="Z166" s="12">
        <f>_xll.BDP(Z$173, $P166)/100</f>
        <v>9.0471120000000002E-2</v>
      </c>
      <c r="AA166" s="12">
        <f>_xll.BDP(AA$173, $P166)/100</f>
        <v>8.3030389999999996E-2</v>
      </c>
      <c r="AB166" s="12">
        <f>_xll.BDP(AB$173, $P166)/100</f>
        <v>8.2095780000000007E-2</v>
      </c>
      <c r="AC166" s="12">
        <f>_xll.BDP(AC$173, $P166)/100</f>
        <v>8.1611989999999995E-2</v>
      </c>
      <c r="AD166" s="12">
        <f>_xll.BDP(AD$173, $P166)/100</f>
        <v>8.0394510000000002E-2</v>
      </c>
      <c r="AE166" s="12">
        <f>_xll.BDP(AE$173, $P166)/100</f>
        <v>8.3304530000000002E-2</v>
      </c>
      <c r="AF166" s="12">
        <f>_xll.BDP(AF$173, $P166)/100</f>
        <v>8.4420249999999988E-2</v>
      </c>
      <c r="AG166" s="12">
        <f>_xll.BDP(AG$173, $P166)/100</f>
        <v>8.6046869999999998E-2</v>
      </c>
      <c r="AH166" s="12">
        <f>_xll.BDP(AH$173, $P166)/100</f>
        <v>9.4401259999999987E-2</v>
      </c>
      <c r="AI166" s="12">
        <f>_xll.BDP(AI$173, $P166)/100</f>
        <v>0.10012288</v>
      </c>
      <c r="AJ166" s="12">
        <f>_xll.BDP(AJ$173, $P166)/100</f>
        <v>0.10945448000000001</v>
      </c>
      <c r="AK166" s="12">
        <f>_xll.BDP(AK$173, $P166)/100</f>
        <v>0.11547354</v>
      </c>
      <c r="AL166" s="12">
        <f>_xll.BDP(AL$173, $P166)/100</f>
        <v>0.12332660000000001</v>
      </c>
    </row>
    <row r="167" spans="1:38">
      <c r="P167" s="42" t="s">
        <v>10</v>
      </c>
      <c r="Q167" s="6">
        <f ca="1">Q166*(MIN(SQRT(1/365),(SQRT(($B$174/365)))))</f>
        <v>9.6577309119626909E-3</v>
      </c>
      <c r="R167" s="6">
        <f t="shared" ref="R167:AL167" ca="1" si="67">R166*(MIN(SQRT(1/365),(SQRT(($B$174/365)))))</f>
        <v>9.173668991775184E-3</v>
      </c>
      <c r="S167" s="6">
        <f t="shared" ca="1" si="67"/>
        <v>8.3162566389629166E-3</v>
      </c>
      <c r="T167" s="6">
        <f t="shared" ca="1" si="67"/>
        <v>7.822933779313021E-3</v>
      </c>
      <c r="U167" s="6">
        <f t="shared" ca="1" si="67"/>
        <v>7.1369364800619763E-3</v>
      </c>
      <c r="V167" s="6">
        <f t="shared" ca="1" si="67"/>
        <v>6.4447345136325494E-3</v>
      </c>
      <c r="W167" s="6">
        <f t="shared" ca="1" si="67"/>
        <v>6.4256902576330264E-3</v>
      </c>
      <c r="X167" s="6">
        <f t="shared" ca="1" si="67"/>
        <v>5.6641168250470275E-3</v>
      </c>
      <c r="Y167" s="6">
        <f t="shared" ca="1" si="67"/>
        <v>4.3048880125929933E-3</v>
      </c>
      <c r="Z167" s="6">
        <f t="shared" ca="1" si="67"/>
        <v>4.7354748511529935E-3</v>
      </c>
      <c r="AA167" s="6">
        <f t="shared" ca="1" si="67"/>
        <v>4.3460092427995249E-3</v>
      </c>
      <c r="AB167" s="6">
        <f t="shared" ca="1" si="67"/>
        <v>4.2970895195703213E-3</v>
      </c>
      <c r="AC167" s="6">
        <f t="shared" ca="1" si="67"/>
        <v>4.2717667936193289E-3</v>
      </c>
      <c r="AD167" s="6">
        <f t="shared" ca="1" si="67"/>
        <v>4.2080409778918158E-3</v>
      </c>
      <c r="AE167" s="6">
        <f t="shared" ca="1" si="67"/>
        <v>4.3603583862134136E-3</v>
      </c>
      <c r="AF167" s="6">
        <f t="shared" ca="1" si="67"/>
        <v>4.4187578401046479E-3</v>
      </c>
      <c r="AG167" s="6">
        <f t="shared" ca="1" si="67"/>
        <v>4.5038990222010175E-3</v>
      </c>
      <c r="AH167" s="6">
        <f t="shared" ca="1" si="67"/>
        <v>4.9411877806658632E-3</v>
      </c>
      <c r="AI167" s="6">
        <f t="shared" ca="1" si="67"/>
        <v>5.2406710590629253E-3</v>
      </c>
      <c r="AJ167" s="6">
        <f t="shared" ca="1" si="67"/>
        <v>5.7291093266672094E-3</v>
      </c>
      <c r="AK167" s="6">
        <f t="shared" ca="1" si="67"/>
        <v>6.0441613262177942E-3</v>
      </c>
      <c r="AL167" s="6">
        <f t="shared" ca="1" si="67"/>
        <v>6.4552092731714255E-3</v>
      </c>
    </row>
    <row r="168" spans="1:38">
      <c r="P168" s="42" t="s">
        <v>16</v>
      </c>
      <c r="Q168" s="11">
        <f>($B$164-Q172)/100</f>
        <v>6.5699999999999925E-2</v>
      </c>
      <c r="R168" s="11">
        <f t="shared" ref="R168:AL168" si="68">($B$164-R172)/100</f>
        <v>6.0699999999999935E-2</v>
      </c>
      <c r="S168" s="11">
        <f t="shared" si="68"/>
        <v>5.5699999999999646E-2</v>
      </c>
      <c r="T168" s="11">
        <f t="shared" si="68"/>
        <v>5.0699999999999648E-2</v>
      </c>
      <c r="U168" s="11">
        <f t="shared" si="68"/>
        <v>4.5699999999999366E-2</v>
      </c>
      <c r="V168" s="11">
        <f t="shared" si="68"/>
        <v>4.0699999999999362E-2</v>
      </c>
      <c r="W168" s="11">
        <f t="shared" si="68"/>
        <v>3.5699999999999364E-2</v>
      </c>
      <c r="X168" s="11">
        <f t="shared" si="68"/>
        <v>3.0699999999999079E-2</v>
      </c>
      <c r="Y168" s="11">
        <f t="shared" si="68"/>
        <v>2.5699999999999078E-2</v>
      </c>
      <c r="Z168" s="11">
        <f t="shared" si="68"/>
        <v>2.0699999999998796E-2</v>
      </c>
      <c r="AA168" s="11">
        <f t="shared" si="68"/>
        <v>1.5699999999998795E-2</v>
      </c>
      <c r="AB168" s="11">
        <f t="shared" si="68"/>
        <v>1.0699999999998796E-2</v>
      </c>
      <c r="AC168" s="11">
        <f t="shared" si="68"/>
        <v>5.6999999999985109E-3</v>
      </c>
      <c r="AD168" s="11">
        <f t="shared" si="68"/>
        <v>6.9999999999851073E-4</v>
      </c>
      <c r="AE168" s="11">
        <f t="shared" si="68"/>
        <v>-4.3000000000017738E-3</v>
      </c>
      <c r="AF168" s="11">
        <f t="shared" si="68"/>
        <v>-9.3000000000017739E-3</v>
      </c>
      <c r="AG168" s="11">
        <f t="shared" si="68"/>
        <v>-1.4300000000001773E-2</v>
      </c>
      <c r="AH168" s="11">
        <f t="shared" si="68"/>
        <v>-1.9300000000002059E-2</v>
      </c>
      <c r="AI168" s="11">
        <f t="shared" si="68"/>
        <v>-2.4300000000002056E-2</v>
      </c>
      <c r="AJ168" s="11">
        <f t="shared" si="68"/>
        <v>-2.9300000000002342E-2</v>
      </c>
      <c r="AK168" s="11">
        <f t="shared" si="68"/>
        <v>-3.4300000000002343E-2</v>
      </c>
      <c r="AL168" s="11">
        <f t="shared" si="68"/>
        <v>-3.930000000000234E-2</v>
      </c>
    </row>
    <row r="169" spans="1:38">
      <c r="Q169" s="11">
        <f ca="1">ABS(Q168/$E$173)</f>
        <v>9.034319611810643</v>
      </c>
      <c r="R169" s="11">
        <f t="shared" ref="R169:AL169" ca="1" si="69">ABS(R168/$E$173)</f>
        <v>8.3467762623577784</v>
      </c>
      <c r="S169" s="11">
        <f t="shared" ca="1" si="69"/>
        <v>7.6592329129048737</v>
      </c>
      <c r="T169" s="11">
        <f t="shared" ca="1" si="69"/>
        <v>6.9716895634520082</v>
      </c>
      <c r="U169" s="11">
        <f t="shared" ca="1" si="69"/>
        <v>6.2841462139991044</v>
      </c>
      <c r="V169" s="11">
        <f t="shared" ca="1" si="69"/>
        <v>5.596602864546238</v>
      </c>
      <c r="W169" s="11">
        <f t="shared" ca="1" si="69"/>
        <v>4.9090595150933725</v>
      </c>
      <c r="X169" s="11">
        <f t="shared" ca="1" si="69"/>
        <v>4.2215161656404678</v>
      </c>
      <c r="Y169" s="11">
        <f t="shared" ca="1" si="69"/>
        <v>3.5339728161876023</v>
      </c>
      <c r="Z169" s="11">
        <f t="shared" ca="1" si="69"/>
        <v>2.8464294667346977</v>
      </c>
      <c r="AA169" s="11">
        <f t="shared" ca="1" si="69"/>
        <v>2.1588861172818321</v>
      </c>
      <c r="AB169" s="11">
        <f t="shared" ca="1" si="69"/>
        <v>1.4713427678289668</v>
      </c>
      <c r="AC169" s="11">
        <f t="shared" ca="1" si="69"/>
        <v>0.78379941837606204</v>
      </c>
      <c r="AD169" s="11">
        <f t="shared" ca="1" si="69"/>
        <v>9.6256068923196395E-2</v>
      </c>
      <c r="AE169" s="11">
        <f t="shared" ca="1" si="69"/>
        <v>0.59128728052970825</v>
      </c>
      <c r="AF169" s="11">
        <f t="shared" ca="1" si="69"/>
        <v>1.2788306299825738</v>
      </c>
      <c r="AG169" s="11">
        <f t="shared" ca="1" si="69"/>
        <v>1.9663739794354393</v>
      </c>
      <c r="AH169" s="11">
        <f t="shared" ca="1" si="69"/>
        <v>2.653917328888344</v>
      </c>
      <c r="AI169" s="11">
        <f t="shared" ca="1" si="69"/>
        <v>3.3414606783412095</v>
      </c>
      <c r="AJ169" s="11">
        <f t="shared" ca="1" si="69"/>
        <v>4.0290040277941142</v>
      </c>
      <c r="AK169" s="11">
        <f t="shared" ca="1" si="69"/>
        <v>4.7165473772469797</v>
      </c>
      <c r="AL169" s="11">
        <f t="shared" ca="1" si="69"/>
        <v>5.4040907266998452</v>
      </c>
    </row>
    <row r="170" spans="1:38">
      <c r="P170" s="42" t="s">
        <v>18</v>
      </c>
      <c r="Q170" s="11">
        <f ca="1">1-_xlfn.NORM.S.DIST(Q169,1)</f>
        <v>0</v>
      </c>
      <c r="R170" s="11">
        <f t="shared" ref="R170:AL170" ca="1" si="70">1-_xlfn.NORM.S.DIST(R169,1)</f>
        <v>0</v>
      </c>
      <c r="S170" s="11">
        <f t="shared" ca="1" si="70"/>
        <v>9.3258734068513149E-15</v>
      </c>
      <c r="T170" s="11">
        <f t="shared" ca="1" si="70"/>
        <v>1.5657475316288583E-12</v>
      </c>
      <c r="U170" s="11">
        <f t="shared" ca="1" si="70"/>
        <v>1.6483014952939357E-10</v>
      </c>
      <c r="V170" s="11">
        <f t="shared" ca="1" si="70"/>
        <v>1.0929632421330382E-8</v>
      </c>
      <c r="W170" s="11">
        <f t="shared" ca="1" si="70"/>
        <v>4.5757102429266894E-7</v>
      </c>
      <c r="X170" s="11">
        <f t="shared" ca="1" si="70"/>
        <v>1.2133227407562508E-5</v>
      </c>
      <c r="Y170" s="11">
        <f t="shared" ca="1" si="70"/>
        <v>2.0468158945086135E-4</v>
      </c>
      <c r="Z170" s="11">
        <f t="shared" ca="1" si="70"/>
        <v>2.2106261259857707E-3</v>
      </c>
      <c r="AA170" s="11">
        <f t="shared" ca="1" si="70"/>
        <v>1.5429501581688099E-2</v>
      </c>
      <c r="AB170" s="11">
        <f t="shared" ca="1" si="70"/>
        <v>7.0599221370910792E-2</v>
      </c>
      <c r="AC170" s="11">
        <f t="shared" ca="1" si="70"/>
        <v>0.21657890759701826</v>
      </c>
      <c r="AD170" s="11">
        <f t="shared" ca="1" si="70"/>
        <v>0.46165860046789997</v>
      </c>
      <c r="AE170" s="11">
        <f t="shared" ca="1" si="70"/>
        <v>0.27716397527234982</v>
      </c>
      <c r="AF170" s="11">
        <f t="shared" ca="1" si="70"/>
        <v>0.10047835259033733</v>
      </c>
      <c r="AG170" s="11">
        <f t="shared" ca="1" si="70"/>
        <v>2.462771343991732E-2</v>
      </c>
      <c r="AH170" s="11">
        <f t="shared" ca="1" si="70"/>
        <v>3.9781658578006418E-3</v>
      </c>
      <c r="AI170" s="11">
        <f t="shared" ca="1" si="70"/>
        <v>4.1669410080247271E-4</v>
      </c>
      <c r="AJ170" s="11">
        <f t="shared" ca="1" si="70"/>
        <v>2.8006829372761999E-5</v>
      </c>
      <c r="AK170" s="11">
        <f t="shared" ca="1" si="70"/>
        <v>1.1994026399841928E-6</v>
      </c>
      <c r="AL170" s="11">
        <f t="shared" ca="1" si="70"/>
        <v>3.2568985064429512E-8</v>
      </c>
    </row>
    <row r="171" spans="1:38">
      <c r="P171" s="42" t="s">
        <v>27</v>
      </c>
      <c r="Q171" s="11">
        <f>IF(Q168&gt;0,0,0.25*$B$176)</f>
        <v>0</v>
      </c>
      <c r="R171" s="11">
        <f t="shared" ref="R171:AL171" si="71">IF(R168&gt;0,0,0.25*$B$176)</f>
        <v>0</v>
      </c>
      <c r="S171" s="11">
        <f t="shared" si="71"/>
        <v>0</v>
      </c>
      <c r="T171" s="11">
        <f t="shared" si="71"/>
        <v>0</v>
      </c>
      <c r="U171" s="11">
        <f t="shared" si="71"/>
        <v>0</v>
      </c>
      <c r="V171" s="11">
        <f t="shared" si="71"/>
        <v>0</v>
      </c>
      <c r="W171" s="11">
        <f t="shared" si="71"/>
        <v>0</v>
      </c>
      <c r="X171" s="11">
        <f t="shared" si="71"/>
        <v>0</v>
      </c>
      <c r="Y171" s="11">
        <f t="shared" si="71"/>
        <v>0</v>
      </c>
      <c r="Z171" s="11">
        <f t="shared" si="71"/>
        <v>0</v>
      </c>
      <c r="AA171" s="11">
        <f t="shared" si="71"/>
        <v>0</v>
      </c>
      <c r="AB171" s="11">
        <f t="shared" si="71"/>
        <v>0</v>
      </c>
      <c r="AC171" s="11">
        <f t="shared" si="71"/>
        <v>0</v>
      </c>
      <c r="AD171" s="11">
        <f t="shared" si="71"/>
        <v>0</v>
      </c>
      <c r="AE171" s="11">
        <f t="shared" ca="1" si="71"/>
        <v>2.6559039438231819E-5</v>
      </c>
      <c r="AF171" s="11">
        <f t="shared" ca="1" si="71"/>
        <v>2.6559039438231819E-5</v>
      </c>
      <c r="AG171" s="11">
        <f t="shared" ca="1" si="71"/>
        <v>2.6559039438231819E-5</v>
      </c>
      <c r="AH171" s="11">
        <f t="shared" ca="1" si="71"/>
        <v>2.6559039438231819E-5</v>
      </c>
      <c r="AI171" s="11">
        <f t="shared" ca="1" si="71"/>
        <v>2.6559039438231819E-5</v>
      </c>
      <c r="AJ171" s="11">
        <f t="shared" ca="1" si="71"/>
        <v>2.6559039438231819E-5</v>
      </c>
      <c r="AK171" s="11">
        <f t="shared" ca="1" si="71"/>
        <v>2.6559039438231819E-5</v>
      </c>
      <c r="AL171" s="11">
        <f t="shared" ca="1" si="71"/>
        <v>2.6559039438231819E-5</v>
      </c>
    </row>
    <row r="172" spans="1:38">
      <c r="A172" t="s">
        <v>15</v>
      </c>
      <c r="B172">
        <v>10</v>
      </c>
      <c r="C172">
        <v>10</v>
      </c>
      <c r="P172" s="42" t="s">
        <v>95</v>
      </c>
      <c r="Q172" s="4">
        <v>147</v>
      </c>
      <c r="R172" s="4">
        <v>147.5</v>
      </c>
      <c r="S172" s="4">
        <v>148.00000000000003</v>
      </c>
      <c r="T172" s="4">
        <v>148.50000000000003</v>
      </c>
      <c r="U172" s="4">
        <v>149.00000000000006</v>
      </c>
      <c r="V172" s="4">
        <v>149.50000000000006</v>
      </c>
      <c r="W172" s="4">
        <v>150.00000000000006</v>
      </c>
      <c r="X172" s="4">
        <v>150.50000000000009</v>
      </c>
      <c r="Y172" s="4">
        <v>151.00000000000009</v>
      </c>
      <c r="Z172" s="4">
        <v>151.50000000000011</v>
      </c>
      <c r="AA172" s="4">
        <v>152.00000000000011</v>
      </c>
      <c r="AB172" s="4">
        <v>152.50000000000011</v>
      </c>
      <c r="AC172" s="4">
        <v>153.00000000000014</v>
      </c>
      <c r="AD172" s="4">
        <v>153.50000000000014</v>
      </c>
      <c r="AE172" s="4">
        <v>154.00000000000017</v>
      </c>
      <c r="AF172" s="4">
        <v>154.50000000000017</v>
      </c>
      <c r="AG172" s="4">
        <v>155.00000000000017</v>
      </c>
      <c r="AH172" s="4">
        <v>155.5000000000002</v>
      </c>
      <c r="AI172" s="4">
        <v>156.0000000000002</v>
      </c>
      <c r="AJ172" s="4">
        <v>156.50000000000023</v>
      </c>
      <c r="AK172" s="4">
        <v>157.00000000000023</v>
      </c>
      <c r="AL172" s="4">
        <v>157.50000000000023</v>
      </c>
    </row>
    <row r="173" spans="1:38">
      <c r="A173" t="s">
        <v>17</v>
      </c>
      <c r="B173">
        <v>12</v>
      </c>
      <c r="C173">
        <v>12</v>
      </c>
      <c r="D173" t="s">
        <v>12</v>
      </c>
      <c r="E173">
        <f ca="1">(B164/100)*Z167</f>
        <v>7.2722687289156511E-3</v>
      </c>
      <c r="P173" s="42" t="s">
        <v>98</v>
      </c>
      <c r="Q173" t="str">
        <f>($P$173&amp;" "&amp;Q172&amp;" COMB Curncy")</f>
        <v>3BV5P 147 COMB Curncy</v>
      </c>
      <c r="R173" t="str">
        <f t="shared" ref="R173:AL173" si="72">($P$173&amp;" "&amp;R172&amp;" COMB Curncy")</f>
        <v>3BV5P 147.5 COMB Curncy</v>
      </c>
      <c r="S173" t="str">
        <f t="shared" si="72"/>
        <v>3BV5P 148 COMB Curncy</v>
      </c>
      <c r="T173" t="str">
        <f t="shared" si="72"/>
        <v>3BV5P 148.5 COMB Curncy</v>
      </c>
      <c r="U173" t="str">
        <f t="shared" si="72"/>
        <v>3BV5P 149 COMB Curncy</v>
      </c>
      <c r="V173" t="str">
        <f t="shared" si="72"/>
        <v>3BV5P 149.5 COMB Curncy</v>
      </c>
      <c r="W173" t="str">
        <f t="shared" si="72"/>
        <v>3BV5P 150 COMB Curncy</v>
      </c>
      <c r="X173" t="str">
        <f t="shared" si="72"/>
        <v>3BV5P 150.5 COMB Curncy</v>
      </c>
      <c r="Y173" t="str">
        <f t="shared" si="72"/>
        <v>3BV5P 151 COMB Curncy</v>
      </c>
      <c r="Z173" t="str">
        <f t="shared" si="72"/>
        <v>3BV5P 151.5 COMB Curncy</v>
      </c>
      <c r="AA173" t="str">
        <f t="shared" si="72"/>
        <v>3BV5P 152 COMB Curncy</v>
      </c>
      <c r="AB173" t="str">
        <f t="shared" si="72"/>
        <v>3BV5P 152.5 COMB Curncy</v>
      </c>
      <c r="AC173" t="str">
        <f t="shared" si="72"/>
        <v>3BV5P 153 COMB Curncy</v>
      </c>
      <c r="AD173" t="str">
        <f t="shared" si="72"/>
        <v>3BV5P 153.5 COMB Curncy</v>
      </c>
      <c r="AE173" t="str">
        <f t="shared" si="72"/>
        <v>3BV5P 154 COMB Curncy</v>
      </c>
      <c r="AF173" t="str">
        <f t="shared" si="72"/>
        <v>3BV5P 154.5 COMB Curncy</v>
      </c>
      <c r="AG173" t="str">
        <f t="shared" si="72"/>
        <v>3BV5P 155 COMB Curncy</v>
      </c>
      <c r="AH173" t="str">
        <f t="shared" si="72"/>
        <v>3BV5P 155.5 COMB Curncy</v>
      </c>
      <c r="AI173" t="str">
        <f t="shared" si="72"/>
        <v>3BV5P 156 COMB Curncy</v>
      </c>
      <c r="AJ173" t="str">
        <f t="shared" si="72"/>
        <v>3BV5P 156.5 COMB Curncy</v>
      </c>
      <c r="AK173" t="str">
        <f t="shared" si="72"/>
        <v>3BV5P 157 COMB Curncy</v>
      </c>
      <c r="AL173" t="str">
        <f t="shared" si="72"/>
        <v>3BV5P 157.5 COMB Curncy</v>
      </c>
    </row>
    <row r="174" spans="1:38">
      <c r="A174" t="s">
        <v>1</v>
      </c>
      <c r="B174" s="2">
        <f ca="1">B163-B162</f>
        <v>11.295589236113301</v>
      </c>
      <c r="C174" s="2">
        <f ca="1">C163-C162</f>
        <v>11.295589236113301</v>
      </c>
      <c r="O174" s="42">
        <v>0</v>
      </c>
      <c r="P174" s="42" t="s">
        <v>7</v>
      </c>
      <c r="Q174" s="35">
        <f ca="1">-1*CGBlackScholes("t","p",$B$164,Q172,$B$174/365,$B$166,$B$165,Q166)/100</f>
        <v>3.4739123554832364E-4</v>
      </c>
      <c r="R174" s="35">
        <f t="shared" ref="R174:AL174" ca="1" si="73">-1*CGBlackScholes("t","p",$B$164,R172,$B$174/365,$B$166,$B$165,R166)/100</f>
        <v>3.4813149962364091E-4</v>
      </c>
      <c r="S174" s="35">
        <f t="shared" ca="1" si="73"/>
        <v>3.104584634167466E-4</v>
      </c>
      <c r="T174" s="35">
        <f t="shared" ca="1" si="73"/>
        <v>3.101202784530056E-4</v>
      </c>
      <c r="U174" s="35">
        <f t="shared" ca="1" si="73"/>
        <v>2.8972933129104773E-4</v>
      </c>
      <c r="V174" s="35">
        <f t="shared" ca="1" si="73"/>
        <v>2.684993872939531E-4</v>
      </c>
      <c r="W174" s="35">
        <f t="shared" ca="1" si="73"/>
        <v>3.1967717202981279E-4</v>
      </c>
      <c r="X174" s="35">
        <f t="shared" ca="1" si="73"/>
        <v>2.9100095131785649E-4</v>
      </c>
      <c r="Y174" s="35">
        <f t="shared" ca="1" si="73"/>
        <v>1.969456692465884E-4</v>
      </c>
      <c r="Z174" s="35">
        <f t="shared" ca="1" si="73"/>
        <v>2.9785998499195024E-4</v>
      </c>
      <c r="AA174" s="35">
        <f t="shared" ca="1" si="73"/>
        <v>3.0750143465036085E-4</v>
      </c>
      <c r="AB174" s="35">
        <f t="shared" ca="1" si="73"/>
        <v>3.4689058022333458E-4</v>
      </c>
      <c r="AC174" s="35">
        <f t="shared" ca="1" si="73"/>
        <v>3.7551045426443218E-4</v>
      </c>
      <c r="AD174" s="35">
        <f t="shared" ca="1" si="73"/>
        <v>3.8289857229625206E-4</v>
      </c>
      <c r="AE174" s="35">
        <f t="shared" ca="1" si="73"/>
        <v>3.9036047453629646E-4</v>
      </c>
      <c r="AF174" s="35">
        <f t="shared" ca="1" si="73"/>
        <v>3.7140008788615568E-4</v>
      </c>
      <c r="AG174" s="35">
        <f t="shared" ca="1" si="73"/>
        <v>3.4130293237640919E-4</v>
      </c>
      <c r="AH174" s="35">
        <f t="shared" ca="1" si="73"/>
        <v>3.4081608486363367E-4</v>
      </c>
      <c r="AI174" s="35">
        <f t="shared" ca="1" si="73"/>
        <v>3.2274380048534517E-4</v>
      </c>
      <c r="AJ174" s="35">
        <f t="shared" ca="1" si="73"/>
        <v>3.2463612886754337E-4</v>
      </c>
      <c r="AK174" s="35">
        <f t="shared" ca="1" si="73"/>
        <v>3.0727718766217449E-4</v>
      </c>
      <c r="AL174" s="35">
        <f t="shared" ca="1" si="73"/>
        <v>3.0113565402795843E-4</v>
      </c>
    </row>
    <row r="175" spans="1:38">
      <c r="P175" s="42" t="s">
        <v>66</v>
      </c>
      <c r="Q175" s="35">
        <f ca="1">Q182*Q174</f>
        <v>0</v>
      </c>
      <c r="R175" s="35">
        <f t="shared" ref="R175:AL175" ca="1" si="74">R182*R174</f>
        <v>0</v>
      </c>
      <c r="S175" s="35">
        <f t="shared" ca="1" si="74"/>
        <v>0</v>
      </c>
      <c r="T175" s="35">
        <f t="shared" ca="1" si="74"/>
        <v>0</v>
      </c>
      <c r="U175" s="35">
        <f t="shared" ca="1" si="74"/>
        <v>0</v>
      </c>
      <c r="V175" s="35">
        <f t="shared" ca="1" si="74"/>
        <v>0</v>
      </c>
      <c r="W175" s="35">
        <f t="shared" ca="1" si="74"/>
        <v>0</v>
      </c>
      <c r="X175" s="35">
        <f t="shared" ca="1" si="74"/>
        <v>0</v>
      </c>
      <c r="Y175" s="35">
        <f t="shared" ca="1" si="74"/>
        <v>0</v>
      </c>
      <c r="Z175" s="35">
        <f t="shared" ca="1" si="74"/>
        <v>0</v>
      </c>
      <c r="AA175" s="35">
        <f t="shared" ca="1" si="74"/>
        <v>0</v>
      </c>
      <c r="AB175" s="35">
        <f t="shared" ca="1" si="74"/>
        <v>0</v>
      </c>
      <c r="AC175" s="35">
        <f t="shared" ca="1" si="74"/>
        <v>0</v>
      </c>
      <c r="AD175" s="35">
        <f t="shared" ca="1" si="74"/>
        <v>0</v>
      </c>
      <c r="AE175" s="35">
        <f t="shared" ca="1" si="74"/>
        <v>0</v>
      </c>
      <c r="AF175" s="35">
        <f t="shared" ca="1" si="74"/>
        <v>0</v>
      </c>
      <c r="AG175" s="35">
        <f t="shared" ca="1" si="74"/>
        <v>0</v>
      </c>
      <c r="AH175" s="35">
        <f t="shared" ca="1" si="74"/>
        <v>0</v>
      </c>
      <c r="AI175" s="35">
        <f t="shared" ca="1" si="74"/>
        <v>0</v>
      </c>
      <c r="AJ175" s="35">
        <f t="shared" ca="1" si="74"/>
        <v>0</v>
      </c>
      <c r="AK175" s="35">
        <f t="shared" ca="1" si="74"/>
        <v>0</v>
      </c>
      <c r="AL175" s="35">
        <f t="shared" ca="1" si="74"/>
        <v>0</v>
      </c>
    </row>
    <row r="176" spans="1:38">
      <c r="A176" t="s">
        <v>9</v>
      </c>
      <c r="B176">
        <f ca="1">B173/10000/B174</f>
        <v>1.0623615775292728E-4</v>
      </c>
      <c r="C176">
        <f ca="1">C173/10000/C174</f>
        <v>1.0623615775292728E-4</v>
      </c>
      <c r="P176" s="42" t="s">
        <v>8</v>
      </c>
      <c r="Q176" s="5">
        <f ca="1">CGBlackScholes("g","P",$B$164,Q172,$B$174/365,$B$166,$B$165,Q166)</f>
        <v>3.1590361727094396E-2</v>
      </c>
      <c r="R176" s="5">
        <f t="shared" ref="R176:AL176" ca="1" si="75">CGBlackScholes("g","P",$B$164,R172,$B$174/365,$B$166,$B$165,R166)</f>
        <v>3.5086929747473149E-2</v>
      </c>
      <c r="S176" s="5">
        <f t="shared" ca="1" si="75"/>
        <v>3.8074579433386851E-2</v>
      </c>
      <c r="T176" s="5">
        <f t="shared" ca="1" si="75"/>
        <v>4.2981432721836833E-2</v>
      </c>
      <c r="U176" s="5">
        <f t="shared" ca="1" si="75"/>
        <v>4.8245842630023239E-2</v>
      </c>
      <c r="V176" s="5">
        <f t="shared" ca="1" si="75"/>
        <v>5.4830921076030582E-2</v>
      </c>
      <c r="W176" s="5">
        <f t="shared" ca="1" si="75"/>
        <v>6.5671171921867708E-2</v>
      </c>
      <c r="X176" s="5">
        <f t="shared" ca="1" si="75"/>
        <v>7.6936936691600497E-2</v>
      </c>
      <c r="Y176" s="5">
        <f t="shared" ca="1" si="75"/>
        <v>9.0140481514287621E-2</v>
      </c>
      <c r="Z176" s="5">
        <f t="shared" ca="1" si="75"/>
        <v>0.11267002841251809</v>
      </c>
      <c r="AA176" s="5">
        <f t="shared" ca="1" si="75"/>
        <v>0.13810381248144901</v>
      </c>
      <c r="AB176" s="5">
        <f t="shared" ca="1" si="75"/>
        <v>0.15937292563685793</v>
      </c>
      <c r="AC176" s="5">
        <f t="shared" ca="1" si="75"/>
        <v>0.17459075531591878</v>
      </c>
      <c r="AD176" s="5">
        <f t="shared" ca="1" si="75"/>
        <v>0.1834844855401668</v>
      </c>
      <c r="AE176" s="5">
        <f t="shared" ca="1" si="75"/>
        <v>0.17425409818466026</v>
      </c>
      <c r="AF176" s="5">
        <f t="shared" ca="1" si="75"/>
        <v>0.16148180887702535</v>
      </c>
      <c r="AG176" s="5">
        <f t="shared" ca="1" si="75"/>
        <v>0.1428934832144424</v>
      </c>
      <c r="AH176" s="5">
        <f t="shared" ca="1" si="75"/>
        <v>0.11859449308909702</v>
      </c>
      <c r="AI176" s="5">
        <f t="shared" ca="1" si="75"/>
        <v>9.9884542932452303E-2</v>
      </c>
      <c r="AJ176" s="5">
        <f t="shared" ca="1" si="75"/>
        <v>8.410198087475812E-2</v>
      </c>
      <c r="AK176" s="5">
        <f t="shared" ca="1" si="75"/>
        <v>7.1562715024014623E-2</v>
      </c>
      <c r="AL176" s="5">
        <f t="shared" ca="1" si="75"/>
        <v>6.1516040632677411E-2</v>
      </c>
    </row>
    <row r="177" spans="1:38">
      <c r="P177" s="42" t="s">
        <v>60</v>
      </c>
      <c r="Q177" s="41" t="e">
        <f>IF(Q168&gt;0,_xll.BDP(Q173,"BID")/100,(_xll.BDP(Q173,"BID")/100)+Q168)</f>
        <v>#VALUE!</v>
      </c>
      <c r="R177" s="41" t="e">
        <f>IF(R168&gt;0,_xll.BDP(R173,"BID")/100,(_xll.BDP(R173,"BID")/100)+R168)</f>
        <v>#VALUE!</v>
      </c>
      <c r="S177" s="41" t="e">
        <f>IF(S168&gt;0,_xll.BDP(S173,"BID")/100,(_xll.BDP(S173,"BID")/100)+S168)</f>
        <v>#VALUE!</v>
      </c>
      <c r="T177" s="41" t="e">
        <f>IF(T168&gt;0,_xll.BDP(T173,"BID")/100,(_xll.BDP(T173,"BID")/100)+T168)</f>
        <v>#VALUE!</v>
      </c>
      <c r="U177" s="41" t="e">
        <f>IF(U168&gt;0,_xll.BDP(U173,"BID")/100,(_xll.BDP(U173,"BID")/100)+U168)</f>
        <v>#VALUE!</v>
      </c>
      <c r="V177" s="41" t="e">
        <f>IF(V168&gt;0,_xll.BDP(V173,"BID")/100,(_xll.BDP(V173,"BID")/100)+V168)</f>
        <v>#VALUE!</v>
      </c>
      <c r="W177" s="41" t="e">
        <f>IF(W168&gt;0,_xll.BDP(W173,"BID")/100,(_xll.BDP(W173,"BID")/100)+W168)</f>
        <v>#VALUE!</v>
      </c>
      <c r="X177" s="41" t="e">
        <f>IF(X168&gt;0,_xll.BDP(X173,"BID")/100,(_xll.BDP(X173,"BID")/100)+X168)</f>
        <v>#VALUE!</v>
      </c>
      <c r="Y177" s="41">
        <f>IF(Y168&gt;0,_xll.BDP(Y173,"BID")/100,(_xll.BDP(Y173,"BID")/100)+Y168)</f>
        <v>1E-4</v>
      </c>
      <c r="Z177" s="41">
        <f>IF(Z168&gt;0,_xll.BDP(Z173,"BID")/100,(_xll.BDP(Z173,"BID")/100)+Z168)</f>
        <v>2.9999999999999997E-4</v>
      </c>
      <c r="AA177" s="41">
        <f>IF(AA168&gt;0,_xll.BDP(AA173,"BID")/100,(_xll.BDP(AA173,"BID")/100)+AA168)</f>
        <v>5.9999999999999995E-4</v>
      </c>
      <c r="AB177" s="41">
        <f>IF(AB168&gt;0,_xll.BDP(AB173,"BID")/100,(_xll.BDP(AB173,"BID")/100)+AB168)</f>
        <v>1.2999999999999999E-3</v>
      </c>
      <c r="AC177" s="41">
        <f>IF(AC168&gt;0,_xll.BDP(AC173,"BID")/100,(_xll.BDP(AC173,"BID")/100)+AC168)</f>
        <v>2.5000000000000001E-3</v>
      </c>
      <c r="AD177" s="41">
        <f>IF(AD168&gt;0,_xll.BDP(AD173,"BID")/100,(_xll.BDP(AD173,"BID")/100)+AD168)</f>
        <v>4.5000000000000005E-3</v>
      </c>
      <c r="AE177" s="41">
        <f>IF(AE168&gt;0,_xll.BDP(AE173,"BID")/100,(_xll.BDP(AE173,"BID")/100)+AE168)</f>
        <v>2.9999999999982263E-3</v>
      </c>
      <c r="AF177" s="41">
        <f>IF(AF168&gt;0,_xll.BDP(AF173,"BID")/100,(_xll.BDP(AF173,"BID")/100)+AF168)</f>
        <v>1.0999999999982257E-3</v>
      </c>
      <c r="AG177" s="41">
        <f>IF(AG168&gt;0,_xll.BDP(AG173,"BID")/100,(_xll.BDP(AG173,"BID")/100)+AG168)</f>
        <v>3.9999999999822643E-4</v>
      </c>
      <c r="AH177" s="41">
        <f>IF(AH168&gt;0,_xll.BDP(AH173,"BID")/100,(_xll.BDP(AH173,"BID")/100)+AH168)</f>
        <v>-2.0000000000205964E-4</v>
      </c>
      <c r="AI177" s="41">
        <f>IF(AI168&gt;0,_xll.BDP(AI173,"BID")/100,(_xll.BDP(AI173,"BID")/100)+AI168)</f>
        <v>-5.0000000000205783E-4</v>
      </c>
      <c r="AJ177" s="41">
        <f>IF(AJ168&gt;0,_xll.BDP(AJ173,"BID")/100,(_xll.BDP(AJ173,"BID")/100)+AJ168)</f>
        <v>-6.0000000000234172E-4</v>
      </c>
      <c r="AK177" s="41">
        <f>IF(AK168&gt;0,_xll.BDP(AK173,"BID")/100,(_xll.BDP(AK173,"BID")/100)+AK168)</f>
        <v>-7.0000000000234458E-4</v>
      </c>
      <c r="AL177" s="41">
        <f>IF(AL168&gt;0,_xll.BDP(AL173,"BID")/100,(_xll.BDP(AL173,"BID")/100)+AL168)</f>
        <v>-8.0000000000234051E-4</v>
      </c>
    </row>
    <row r="178" spans="1:38">
      <c r="P178" s="42" t="s">
        <v>61</v>
      </c>
      <c r="Q178" s="41">
        <f>IF(Q168&gt;0,_xll.BDP(Q173,"ASK")/100,(_xll.BDP(Q173,"ASK")/100)+Q168)</f>
        <v>1E-4</v>
      </c>
      <c r="R178" s="41">
        <f>IF(R168&gt;0,_xll.BDP(R173,"ASK")/100,(_xll.BDP(R173,"ASK")/100)+R168)</f>
        <v>1E-4</v>
      </c>
      <c r="S178" s="41">
        <f>IF(S168&gt;0,_xll.BDP(S173,"ASK")/100,(_xll.BDP(S173,"ASK")/100)+S168)</f>
        <v>1E-4</v>
      </c>
      <c r="T178" s="41">
        <f>IF(T168&gt;0,_xll.BDP(T173,"ASK")/100,(_xll.BDP(T173,"ASK")/100)+T168)</f>
        <v>1E-4</v>
      </c>
      <c r="U178" s="41">
        <f>IF(U168&gt;0,_xll.BDP(U173,"ASK")/100,(_xll.BDP(U173,"ASK")/100)+U168)</f>
        <v>1E-4</v>
      </c>
      <c r="V178" s="41">
        <f>IF(V168&gt;0,_xll.BDP(V173,"ASK")/100,(_xll.BDP(V173,"ASK")/100)+V168)</f>
        <v>1E-4</v>
      </c>
      <c r="W178" s="41">
        <f>IF(W168&gt;0,_xll.BDP(W173,"ASK")/100,(_xll.BDP(W173,"ASK")/100)+W168)</f>
        <v>2.0000000000000001E-4</v>
      </c>
      <c r="X178" s="41">
        <f>IF(X168&gt;0,_xll.BDP(X173,"ASK")/100,(_xll.BDP(X173,"ASK")/100)+X168)</f>
        <v>2.0000000000000001E-4</v>
      </c>
      <c r="Y178" s="41">
        <f>IF(Y168&gt;0,_xll.BDP(Y173,"ASK")/100,(_xll.BDP(Y173,"ASK")/100)+Y168)</f>
        <v>2.9999999999999997E-4</v>
      </c>
      <c r="Z178" s="41">
        <f>IF(Z168&gt;0,_xll.BDP(Z173,"ASK")/100,(_xll.BDP(Z173,"ASK")/100)+Z168)</f>
        <v>5.0000000000000001E-4</v>
      </c>
      <c r="AA178" s="41">
        <f>IF(AA168&gt;0,_xll.BDP(AA173,"ASK")/100,(_xll.BDP(AA173,"ASK")/100)+AA168)</f>
        <v>8.0000000000000004E-4</v>
      </c>
      <c r="AB178" s="41">
        <f>IF(AB168&gt;0,_xll.BDP(AB173,"ASK")/100,(_xll.BDP(AB173,"ASK")/100)+AB168)</f>
        <v>1.6000000000000001E-3</v>
      </c>
      <c r="AC178" s="41">
        <f>IF(AC168&gt;0,_xll.BDP(AC173,"ASK")/100,(_xll.BDP(AC173,"ASK")/100)+AC168)</f>
        <v>2.8999999999999998E-3</v>
      </c>
      <c r="AD178" s="41">
        <f>IF(AD168&gt;0,_xll.BDP(AD173,"ASK")/100,(_xll.BDP(AD173,"ASK")/100)+AD168)</f>
        <v>4.7999999999999996E-3</v>
      </c>
      <c r="AE178" s="41">
        <f>IF(AE168&gt;0,_xll.BDP(AE173,"ASK")/100,(_xll.BDP(AE173,"ASK")/100)+AE168)</f>
        <v>3.4999999999982268E-3</v>
      </c>
      <c r="AF178" s="41">
        <f>IF(AF168&gt;0,_xll.BDP(AF173,"ASK")/100,(_xll.BDP(AF173,"ASK")/100)+AF168)</f>
        <v>2.3999999999982247E-3</v>
      </c>
      <c r="AG178" s="41">
        <f>IF(AG168&gt;0,_xll.BDP(AG173,"ASK")/100,(_xll.BDP(AG173,"ASK")/100)+AG168)</f>
        <v>1.6999999999982272E-3</v>
      </c>
      <c r="AH178" s="41">
        <f>IF(AH168&gt;0,_xll.BDP(AH173,"ASK")/100,(_xll.BDP(AH173,"ASK")/100)+AH168)</f>
        <v>1.2999999999979417E-3</v>
      </c>
      <c r="AI178" s="41">
        <f>IF(AI168&gt;0,_xll.BDP(AI173,"ASK")/100,(_xll.BDP(AI173,"ASK")/100)+AI168)</f>
        <v>1.0999999999979429E-3</v>
      </c>
      <c r="AJ178" s="41">
        <f>IF(AJ168&gt;0,_xll.BDP(AJ173,"ASK")/100,(_xll.BDP(AJ173,"ASK")/100)+AJ168)</f>
        <v>9.9999999999765554E-4</v>
      </c>
      <c r="AK178" s="41">
        <f>IF(AK168&gt;0,_xll.BDP(AK173,"ASK")/100,(_xll.BDP(AK173,"ASK")/100)+AK168)</f>
        <v>8.9999999999765962E-4</v>
      </c>
      <c r="AL178" s="41">
        <f>IF(AL168&gt;0,_xll.BDP(AL173,"ASK")/100,(_xll.BDP(AL173,"ASK")/100)+AL168)</f>
        <v>8.9999999999765268E-4</v>
      </c>
    </row>
    <row r="179" spans="1:38">
      <c r="A179" t="s">
        <v>26</v>
      </c>
      <c r="B179" t="s">
        <v>25</v>
      </c>
      <c r="C179" t="s">
        <v>10</v>
      </c>
      <c r="D179" t="s">
        <v>11</v>
      </c>
      <c r="E179" t="s">
        <v>13</v>
      </c>
      <c r="F179" t="s">
        <v>14</v>
      </c>
      <c r="G179" t="s">
        <v>27</v>
      </c>
      <c r="H179" s="4" t="s">
        <v>59</v>
      </c>
      <c r="I179" t="s">
        <v>99</v>
      </c>
      <c r="J179" s="4" t="s">
        <v>7</v>
      </c>
      <c r="K179" s="4" t="s">
        <v>66</v>
      </c>
      <c r="L179" s="56" t="s">
        <v>8</v>
      </c>
      <c r="P179" s="42" t="s">
        <v>58</v>
      </c>
      <c r="Q179" s="41" t="e">
        <f ca="1">((Q177+Q178)/2)/$B$174</f>
        <v>#VALUE!</v>
      </c>
      <c r="R179" s="41" t="e">
        <f t="shared" ref="R179:AL179" ca="1" si="76">((R177+R178)/2)/$B$174</f>
        <v>#VALUE!</v>
      </c>
      <c r="S179" s="41" t="e">
        <f t="shared" ca="1" si="76"/>
        <v>#VALUE!</v>
      </c>
      <c r="T179" s="41" t="e">
        <f t="shared" ca="1" si="76"/>
        <v>#VALUE!</v>
      </c>
      <c r="U179" s="41" t="e">
        <f t="shared" ca="1" si="76"/>
        <v>#VALUE!</v>
      </c>
      <c r="V179" s="41" t="e">
        <f t="shared" ca="1" si="76"/>
        <v>#VALUE!</v>
      </c>
      <c r="W179" s="41" t="e">
        <f t="shared" ca="1" si="76"/>
        <v>#VALUE!</v>
      </c>
      <c r="X179" s="41" t="e">
        <f t="shared" ca="1" si="76"/>
        <v>#VALUE!</v>
      </c>
      <c r="Y179" s="41">
        <f t="shared" ca="1" si="76"/>
        <v>1.7706026292154546E-5</v>
      </c>
      <c r="Z179" s="41">
        <f t="shared" ca="1" si="76"/>
        <v>3.5412052584309092E-5</v>
      </c>
      <c r="AA179" s="41">
        <f t="shared" ca="1" si="76"/>
        <v>6.1971092022540907E-5</v>
      </c>
      <c r="AB179" s="41">
        <f t="shared" ca="1" si="76"/>
        <v>1.2836869061812046E-4</v>
      </c>
      <c r="AC179" s="41">
        <f t="shared" ca="1" si="76"/>
        <v>2.3903135494408639E-4</v>
      </c>
      <c r="AD179" s="41">
        <f t="shared" ca="1" si="76"/>
        <v>4.1166511129259317E-4</v>
      </c>
      <c r="AE179" s="41">
        <f t="shared" ca="1" si="76"/>
        <v>2.8772292724735439E-4</v>
      </c>
      <c r="AF179" s="41">
        <f t="shared" ca="1" si="76"/>
        <v>1.5492773005619517E-4</v>
      </c>
      <c r="AG179" s="41">
        <f t="shared" ca="1" si="76"/>
        <v>9.2956638033654389E-5</v>
      </c>
      <c r="AH179" s="41">
        <f t="shared" ca="1" si="76"/>
        <v>4.8691572303242725E-5</v>
      </c>
      <c r="AI179" s="41">
        <f t="shared" ca="1" si="76"/>
        <v>2.6559039438049673E-5</v>
      </c>
      <c r="AJ179" s="41">
        <f t="shared" ca="1" si="76"/>
        <v>1.7706026291947114E-5</v>
      </c>
      <c r="AK179" s="41">
        <f t="shared" ca="1" si="76"/>
        <v>8.8530131458698939E-6</v>
      </c>
      <c r="AL179" s="41">
        <f t="shared" ca="1" si="76"/>
        <v>4.4265065728311295E-6</v>
      </c>
    </row>
    <row r="180" spans="1:38">
      <c r="J180" s="4">
        <v>0</v>
      </c>
      <c r="N180" s="49" t="s">
        <v>64</v>
      </c>
      <c r="O180" s="46"/>
      <c r="P180" s="46"/>
      <c r="Q180" s="47" t="e">
        <f ca="1">(MIN(Q$174,Q$179) - $B$172*$B$173/10000*Q$170)*10000</f>
        <v>#VALUE!</v>
      </c>
      <c r="R180" s="47" t="e">
        <f t="shared" ref="R180:AL180" ca="1" si="77">(MIN(R$174,R$179) - $B$172*$B$173/10000*R$170)*10000</f>
        <v>#VALUE!</v>
      </c>
      <c r="S180" s="47" t="e">
        <f t="shared" ca="1" si="77"/>
        <v>#VALUE!</v>
      </c>
      <c r="T180" s="47" t="e">
        <f t="shared" ca="1" si="77"/>
        <v>#VALUE!</v>
      </c>
      <c r="U180" s="47" t="e">
        <f t="shared" ca="1" si="77"/>
        <v>#VALUE!</v>
      </c>
      <c r="V180" s="47" t="e">
        <f t="shared" ca="1" si="77"/>
        <v>#VALUE!</v>
      </c>
      <c r="W180" s="47" t="e">
        <f t="shared" ca="1" si="77"/>
        <v>#VALUE!</v>
      </c>
      <c r="X180" s="47" t="e">
        <f t="shared" ca="1" si="77"/>
        <v>#VALUE!</v>
      </c>
      <c r="Y180" s="47">
        <f t="shared" ca="1" si="77"/>
        <v>0.15249847218744211</v>
      </c>
      <c r="Z180" s="47">
        <f t="shared" ca="1" si="77"/>
        <v>8.8845390724798426E-2</v>
      </c>
      <c r="AA180" s="47">
        <f t="shared" ca="1" si="77"/>
        <v>-1.2318292695771627</v>
      </c>
      <c r="AB180" s="47">
        <f t="shared" ca="1" si="77"/>
        <v>-7.1882196583280908</v>
      </c>
      <c r="AC180" s="47">
        <f t="shared" ca="1" si="77"/>
        <v>-23.599155362201326</v>
      </c>
      <c r="AD180" s="47">
        <f t="shared" ca="1" si="77"/>
        <v>-51.570046333185481</v>
      </c>
      <c r="AE180" s="47">
        <f t="shared" ca="1" si="77"/>
        <v>-30.382447760208439</v>
      </c>
      <c r="AF180" s="47">
        <f t="shared" ca="1" si="77"/>
        <v>-10.508125010278528</v>
      </c>
      <c r="AG180" s="47">
        <f t="shared" ca="1" si="77"/>
        <v>-2.0257592324535345</v>
      </c>
      <c r="AH180" s="47">
        <f t="shared" ca="1" si="77"/>
        <v>9.5358200963502129E-3</v>
      </c>
      <c r="AI180" s="47">
        <f t="shared" ca="1" si="77"/>
        <v>0.2155871022842</v>
      </c>
      <c r="AJ180" s="47">
        <f t="shared" ca="1" si="77"/>
        <v>0.17369944339473972</v>
      </c>
      <c r="AK180" s="47">
        <f t="shared" ca="1" si="77"/>
        <v>8.8386203141900835E-2</v>
      </c>
      <c r="AL180" s="47">
        <f t="shared" ca="1" si="77"/>
        <v>4.4261157450103561E-2</v>
      </c>
    </row>
    <row r="181" spans="1:38">
      <c r="N181" s="49"/>
      <c r="O181" s="43" t="s">
        <v>63</v>
      </c>
      <c r="P181" s="43"/>
      <c r="Q181" s="55" t="str">
        <f>ROUND(((Q178*10000)+$B$173),0)&amp;" ticks"</f>
        <v>13 ticks</v>
      </c>
      <c r="R181" s="55" t="str">
        <f t="shared" ref="R181:AL181" si="78">ROUND(((R178*10000)+$B$173),0)&amp;" ticks"</f>
        <v>13 ticks</v>
      </c>
      <c r="S181" s="55" t="str">
        <f t="shared" si="78"/>
        <v>13 ticks</v>
      </c>
      <c r="T181" s="55" t="str">
        <f t="shared" si="78"/>
        <v>13 ticks</v>
      </c>
      <c r="U181" s="55" t="str">
        <f t="shared" si="78"/>
        <v>13 ticks</v>
      </c>
      <c r="V181" s="55" t="str">
        <f t="shared" si="78"/>
        <v>13 ticks</v>
      </c>
      <c r="W181" s="55" t="str">
        <f t="shared" si="78"/>
        <v>14 ticks</v>
      </c>
      <c r="X181" s="55" t="str">
        <f t="shared" si="78"/>
        <v>14 ticks</v>
      </c>
      <c r="Y181" s="55" t="str">
        <f t="shared" si="78"/>
        <v>15 ticks</v>
      </c>
      <c r="Z181" s="55" t="str">
        <f t="shared" si="78"/>
        <v>17 ticks</v>
      </c>
      <c r="AA181" s="55" t="str">
        <f t="shared" si="78"/>
        <v>20 ticks</v>
      </c>
      <c r="AB181" s="55" t="str">
        <f t="shared" si="78"/>
        <v>28 ticks</v>
      </c>
      <c r="AC181" s="55" t="str">
        <f t="shared" si="78"/>
        <v>41 ticks</v>
      </c>
      <c r="AD181" s="55" t="str">
        <f t="shared" si="78"/>
        <v>60 ticks</v>
      </c>
      <c r="AE181" s="55" t="str">
        <f t="shared" si="78"/>
        <v>47 ticks</v>
      </c>
      <c r="AF181" s="55" t="str">
        <f t="shared" si="78"/>
        <v>36 ticks</v>
      </c>
      <c r="AG181" s="55" t="str">
        <f t="shared" si="78"/>
        <v>29 ticks</v>
      </c>
      <c r="AH181" s="55" t="str">
        <f t="shared" si="78"/>
        <v>25 ticks</v>
      </c>
      <c r="AI181" s="55" t="str">
        <f t="shared" si="78"/>
        <v>23 ticks</v>
      </c>
      <c r="AJ181" s="55" t="str">
        <f t="shared" si="78"/>
        <v>22 ticks</v>
      </c>
      <c r="AK181" s="55" t="str">
        <f t="shared" si="78"/>
        <v>21 ticks</v>
      </c>
      <c r="AL181" s="55" t="str">
        <f t="shared" si="78"/>
        <v>21 ticks</v>
      </c>
    </row>
    <row r="182" spans="1:38" ht="12.75" thickBot="1">
      <c r="N182" s="49"/>
      <c r="O182" s="43" t="s">
        <v>65</v>
      </c>
      <c r="P182" s="53" t="s">
        <v>62</v>
      </c>
      <c r="Q182" s="54">
        <f>Q183+Q187+Q191+Q195+Q199+Q203+Q207+Q211+Q215+Q219+Q223+Q227+Q231+Q235+Q239+Q243+Q247+Q251+Q255+Q259+Q263+Q267+Q271</f>
        <v>0</v>
      </c>
      <c r="R182" s="54">
        <f t="shared" ref="R182:AL182" si="79">R183+R187+R191+R195+R199+R203+R207+R211+R215+R219+R223+R227+R231+R235+R239+R243+R247+R251+R255+R259+R263+R267+R271</f>
        <v>0</v>
      </c>
      <c r="S182" s="54">
        <f t="shared" si="79"/>
        <v>0</v>
      </c>
      <c r="T182" s="54">
        <f t="shared" si="79"/>
        <v>0</v>
      </c>
      <c r="U182" s="54">
        <f t="shared" si="79"/>
        <v>0</v>
      </c>
      <c r="V182" s="54">
        <f t="shared" si="79"/>
        <v>0</v>
      </c>
      <c r="W182" s="54">
        <f t="shared" si="79"/>
        <v>0</v>
      </c>
      <c r="X182" s="54">
        <f t="shared" si="79"/>
        <v>0</v>
      </c>
      <c r="Y182" s="54">
        <f t="shared" si="79"/>
        <v>0</v>
      </c>
      <c r="Z182" s="54">
        <f t="shared" si="79"/>
        <v>0</v>
      </c>
      <c r="AA182" s="54">
        <f t="shared" si="79"/>
        <v>0</v>
      </c>
      <c r="AB182" s="54">
        <f t="shared" si="79"/>
        <v>0</v>
      </c>
      <c r="AC182" s="54">
        <f t="shared" si="79"/>
        <v>0</v>
      </c>
      <c r="AD182" s="54">
        <f t="shared" si="79"/>
        <v>0</v>
      </c>
      <c r="AE182" s="54">
        <f t="shared" si="79"/>
        <v>0</v>
      </c>
      <c r="AF182" s="54">
        <f t="shared" si="79"/>
        <v>0</v>
      </c>
      <c r="AG182" s="54">
        <f t="shared" si="79"/>
        <v>0</v>
      </c>
      <c r="AH182" s="54">
        <f t="shared" si="79"/>
        <v>0</v>
      </c>
      <c r="AI182" s="54">
        <f t="shared" si="79"/>
        <v>0</v>
      </c>
      <c r="AJ182" s="54">
        <f t="shared" si="79"/>
        <v>0</v>
      </c>
      <c r="AK182" s="54">
        <f t="shared" si="79"/>
        <v>0</v>
      </c>
      <c r="AL182" s="54">
        <f t="shared" si="79"/>
        <v>0</v>
      </c>
    </row>
    <row r="183" spans="1:38" ht="12.75" thickTop="1">
      <c r="M183" s="4" t="s">
        <v>58</v>
      </c>
      <c r="N183" s="49"/>
      <c r="O183" s="43"/>
      <c r="P183" s="53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4"/>
      <c r="AH183" s="64"/>
      <c r="AI183" s="64"/>
      <c r="AJ183" s="64"/>
      <c r="AK183" s="64"/>
      <c r="AL183" s="64"/>
    </row>
    <row r="184" spans="1:38">
      <c r="A184" s="62">
        <f>_xll.BDP($I184, A$179)/-1</f>
        <v>-1.3762999999999999E-2</v>
      </c>
      <c r="B184" s="62">
        <f>_xll.BDP($I184, B$179)/100</f>
        <v>0.13036985000000001</v>
      </c>
      <c r="C184" s="63">
        <f ca="1">B184*(MIN(SQRT(1/365),(SQRT(($B$174/365)))))</f>
        <v>6.8238698274497777E-3</v>
      </c>
      <c r="D184" s="63">
        <f>(H184-$B$164)/100</f>
        <v>4.4300000000000068E-2</v>
      </c>
      <c r="E184" s="63">
        <f ca="1">ABS(D184/$E$173)</f>
        <v>6.0916340761523982</v>
      </c>
      <c r="F184" s="63">
        <f ca="1">1-_xlfn.NORM.S.DIST(E184,1)</f>
        <v>5.5881965721482629E-10</v>
      </c>
      <c r="G184" s="63">
        <f>IF(D184&gt;0,0,0.25*$B$176)</f>
        <v>0</v>
      </c>
      <c r="H184" s="4">
        <v>158</v>
      </c>
      <c r="I184" t="str">
        <f>($I$179&amp;" "&amp;H184&amp;" COMB Curncy")</f>
        <v>3BV5C 158 COMB Curncy</v>
      </c>
      <c r="J184" s="38">
        <f ca="1">-1*CGBlackScholes("t","c",B$164,H184,$B$174/365,$B$166,$B$165,B184)/100</f>
        <v>2.9228982869439391E-4</v>
      </c>
      <c r="K184" s="4">
        <f ca="1">J184*P184</f>
        <v>0</v>
      </c>
      <c r="L184" s="56">
        <f ca="1">CGBlackScholes("g","c",B$164,H184,$B$174/365,$B$166,$B$165,B184)</f>
        <v>5.3240796739302765E-2</v>
      </c>
      <c r="M184" s="38" t="e">
        <f ca="1">((M185+M186)/2)/$B$174</f>
        <v>#VALUE!</v>
      </c>
      <c r="N184" s="49" t="e">
        <f ca="1">(MIN($J184,$M184) - $B$172*$B$173/10000*$F184)*10000</f>
        <v>#VALUE!</v>
      </c>
      <c r="O184" s="43" t="str">
        <f>ROUND((($M186*10000)+$B$173),0)&amp;" ticks"</f>
        <v>13 ticks</v>
      </c>
      <c r="P184" s="53">
        <f>SUM(Q183:AL183)</f>
        <v>0</v>
      </c>
      <c r="Q184" s="27" t="e">
        <f ca="1">(MIN(($J184+Q$174),($M184+Q$179))- $B$176 - (($B$172*$B$176)*MAX($F184,Q$170))-($G184+Q$171))* 10000</f>
        <v>#VALUE!</v>
      </c>
      <c r="R184" s="27" t="e">
        <f t="shared" ref="R184:AL184" ca="1" si="80">(MIN(($J184+R$174),($M184+R$179))- $B$176 - (($B$172*$B$176)*MAX($F184,R$170))-($G184+R$171))* 10000</f>
        <v>#VALUE!</v>
      </c>
      <c r="S184" s="27" t="e">
        <f t="shared" ca="1" si="80"/>
        <v>#VALUE!</v>
      </c>
      <c r="T184" s="27" t="e">
        <f t="shared" ca="1" si="80"/>
        <v>#VALUE!</v>
      </c>
      <c r="U184" s="27" t="e">
        <f t="shared" ca="1" si="80"/>
        <v>#VALUE!</v>
      </c>
      <c r="V184" s="27" t="e">
        <f t="shared" ca="1" si="80"/>
        <v>#VALUE!</v>
      </c>
      <c r="W184" s="27" t="e">
        <f t="shared" ca="1" si="80"/>
        <v>#VALUE!</v>
      </c>
      <c r="X184" s="27" t="e">
        <f t="shared" ca="1" si="80"/>
        <v>#VALUE!</v>
      </c>
      <c r="Y184" s="27" t="e">
        <f t="shared" ca="1" si="80"/>
        <v>#VALUE!</v>
      </c>
      <c r="Z184" s="27" t="e">
        <f t="shared" ca="1" si="80"/>
        <v>#VALUE!</v>
      </c>
      <c r="AA184" s="27" t="e">
        <f t="shared" ca="1" si="80"/>
        <v>#VALUE!</v>
      </c>
      <c r="AB184" s="27" t="e">
        <f t="shared" ca="1" si="80"/>
        <v>#VALUE!</v>
      </c>
      <c r="AC184" s="27" t="e">
        <f t="shared" ca="1" si="80"/>
        <v>#VALUE!</v>
      </c>
      <c r="AD184" s="27" t="e">
        <f t="shared" ca="1" si="80"/>
        <v>#VALUE!</v>
      </c>
      <c r="AE184" s="27" t="e">
        <f t="shared" ca="1" si="80"/>
        <v>#VALUE!</v>
      </c>
      <c r="AF184" s="27" t="e">
        <f t="shared" ca="1" si="80"/>
        <v>#VALUE!</v>
      </c>
      <c r="AG184" s="27" t="e">
        <f t="shared" ca="1" si="80"/>
        <v>#VALUE!</v>
      </c>
      <c r="AH184" s="27" t="e">
        <f t="shared" ca="1" si="80"/>
        <v>#VALUE!</v>
      </c>
      <c r="AI184" s="27" t="e">
        <f t="shared" ca="1" si="80"/>
        <v>#VALUE!</v>
      </c>
      <c r="AJ184" s="27" t="e">
        <f t="shared" ca="1" si="80"/>
        <v>#VALUE!</v>
      </c>
      <c r="AK184" s="27" t="e">
        <f t="shared" ca="1" si="80"/>
        <v>#VALUE!</v>
      </c>
      <c r="AL184" s="27" t="e">
        <f t="shared" ca="1" si="80"/>
        <v>#VALUE!</v>
      </c>
    </row>
    <row r="185" spans="1:38">
      <c r="A185" s="62"/>
      <c r="B185" s="62"/>
      <c r="C185" s="63"/>
      <c r="D185" s="63"/>
      <c r="E185" s="63"/>
      <c r="F185" s="63"/>
      <c r="G185" s="63"/>
      <c r="J185" s="38"/>
      <c r="K185" s="4">
        <f t="shared" ref="K185:K248" si="81">J185*P185</f>
        <v>0</v>
      </c>
      <c r="L185" s="56" t="s">
        <v>60</v>
      </c>
      <c r="M185" s="38" t="e">
        <f>IF(D184&gt;0,_xll.BDP(I184,"BID")/100,(_xll.BDP(I184,"BID")/100)+D184)</f>
        <v>#VALUE!</v>
      </c>
      <c r="N185" s="49"/>
      <c r="O185" s="43"/>
      <c r="P185" s="53"/>
      <c r="Q185" s="27">
        <f>Q$165+$A184</f>
        <v>-3.7429999999999998E-3</v>
      </c>
      <c r="R185" s="27">
        <f t="shared" ref="R185:AL185" si="82">R$165+$A184</f>
        <v>-3.0719999999999983E-3</v>
      </c>
      <c r="S185" s="27">
        <f t="shared" si="82"/>
        <v>-2.2819999999999993E-3</v>
      </c>
      <c r="T185" s="27">
        <f t="shared" si="82"/>
        <v>-1.4449999999999984E-3</v>
      </c>
      <c r="U185" s="27">
        <f t="shared" si="82"/>
        <v>-5.4299999999999835E-4</v>
      </c>
      <c r="V185" s="27">
        <f t="shared" si="82"/>
        <v>6.9000000000000138E-4</v>
      </c>
      <c r="W185" s="27">
        <f t="shared" si="82"/>
        <v>1.3202E-2</v>
      </c>
      <c r="X185" s="27">
        <f t="shared" si="82"/>
        <v>1.6191000000000004E-2</v>
      </c>
      <c r="Y185" s="27">
        <f t="shared" si="82"/>
        <v>6.5920000000000024E-3</v>
      </c>
      <c r="Z185" s="27">
        <f t="shared" si="82"/>
        <v>5.1560999999999996E-2</v>
      </c>
      <c r="AA185" s="27">
        <f t="shared" si="82"/>
        <v>9.8623000000000002E-2</v>
      </c>
      <c r="AB185" s="27">
        <f t="shared" si="82"/>
        <v>0.18976799999999999</v>
      </c>
      <c r="AC185" s="27">
        <f t="shared" si="82"/>
        <v>0.31258199999999997</v>
      </c>
      <c r="AD185" s="27">
        <f t="shared" si="82"/>
        <v>0.46531599999999995</v>
      </c>
      <c r="AE185" s="27">
        <f t="shared" si="82"/>
        <v>0.61268200000000006</v>
      </c>
      <c r="AF185" s="27">
        <f t="shared" si="82"/>
        <v>0.74440200000000001</v>
      </c>
      <c r="AG185" s="27">
        <f t="shared" si="82"/>
        <v>0.84529600000000005</v>
      </c>
      <c r="AH185" s="27">
        <f t="shared" si="82"/>
        <v>0.89053800000000005</v>
      </c>
      <c r="AI185" s="27">
        <f t="shared" si="82"/>
        <v>0.92574200000000006</v>
      </c>
      <c r="AJ185" s="27">
        <f t="shared" si="82"/>
        <v>0.94333100000000003</v>
      </c>
      <c r="AK185" s="27">
        <f t="shared" si="82"/>
        <v>0.95750200000000008</v>
      </c>
      <c r="AL185" s="27">
        <f t="shared" si="82"/>
        <v>0.965198</v>
      </c>
    </row>
    <row r="186" spans="1:38" ht="12.75" thickBot="1">
      <c r="A186" s="62"/>
      <c r="B186" s="62"/>
      <c r="C186" s="63"/>
      <c r="D186" s="63"/>
      <c r="E186" s="63"/>
      <c r="F186" s="63"/>
      <c r="G186" s="63"/>
      <c r="J186" s="38"/>
      <c r="K186" s="4">
        <f t="shared" si="81"/>
        <v>0</v>
      </c>
      <c r="L186" s="56" t="s">
        <v>61</v>
      </c>
      <c r="M186" s="38">
        <f>IF(D184&gt;0,_xll.BDP(I184,"ASK")/100,(_xll.BDP(I184,"ASK")/100)+D184)</f>
        <v>1E-4</v>
      </c>
      <c r="N186" s="49"/>
      <c r="O186" s="43"/>
      <c r="P186" s="53"/>
      <c r="Q186" s="29" t="str">
        <f>$H184&amp;$H$179&amp;"_"&amp;Q$172&amp;$P$172</f>
        <v>158C_147P</v>
      </c>
      <c r="R186" s="29" t="str">
        <f t="shared" ref="R186:AL186" si="83">$H184&amp;$H$179&amp;"_"&amp;R$172&amp;$P$172</f>
        <v>158C_147.5P</v>
      </c>
      <c r="S186" s="29" t="str">
        <f t="shared" si="83"/>
        <v>158C_148P</v>
      </c>
      <c r="T186" s="29" t="str">
        <f t="shared" si="83"/>
        <v>158C_148.5P</v>
      </c>
      <c r="U186" s="29" t="str">
        <f t="shared" si="83"/>
        <v>158C_149P</v>
      </c>
      <c r="V186" s="29" t="str">
        <f t="shared" si="83"/>
        <v>158C_149.5P</v>
      </c>
      <c r="W186" s="29" t="str">
        <f t="shared" si="83"/>
        <v>158C_150P</v>
      </c>
      <c r="X186" s="29" t="str">
        <f t="shared" si="83"/>
        <v>158C_150.5P</v>
      </c>
      <c r="Y186" s="29" t="str">
        <f t="shared" si="83"/>
        <v>158C_151P</v>
      </c>
      <c r="Z186" s="29" t="str">
        <f t="shared" si="83"/>
        <v>158C_151.5P</v>
      </c>
      <c r="AA186" s="29" t="str">
        <f t="shared" si="83"/>
        <v>158C_152P</v>
      </c>
      <c r="AB186" s="29" t="str">
        <f t="shared" si="83"/>
        <v>158C_152.5P</v>
      </c>
      <c r="AC186" s="29" t="str">
        <f t="shared" si="83"/>
        <v>158C_153P</v>
      </c>
      <c r="AD186" s="29" t="str">
        <f t="shared" si="83"/>
        <v>158C_153.5P</v>
      </c>
      <c r="AE186" s="29" t="str">
        <f t="shared" si="83"/>
        <v>158C_154P</v>
      </c>
      <c r="AF186" s="29" t="str">
        <f t="shared" si="83"/>
        <v>158C_154.5P</v>
      </c>
      <c r="AG186" s="29" t="str">
        <f t="shared" si="83"/>
        <v>158C_155P</v>
      </c>
      <c r="AH186" s="29" t="str">
        <f t="shared" si="83"/>
        <v>158C_155.5P</v>
      </c>
      <c r="AI186" s="29" t="str">
        <f t="shared" si="83"/>
        <v>158C_156P</v>
      </c>
      <c r="AJ186" s="29" t="str">
        <f t="shared" si="83"/>
        <v>158C_156.5P</v>
      </c>
      <c r="AK186" s="29" t="str">
        <f t="shared" si="83"/>
        <v>158C_157P</v>
      </c>
      <c r="AL186" s="29" t="str">
        <f t="shared" si="83"/>
        <v>158C_157.5P</v>
      </c>
    </row>
    <row r="187" spans="1:38" ht="12.75" thickTop="1">
      <c r="A187" s="62"/>
      <c r="B187" s="62"/>
      <c r="C187" s="63"/>
      <c r="D187" s="63"/>
      <c r="E187" s="63"/>
      <c r="F187" s="63"/>
      <c r="G187" s="63"/>
      <c r="J187" s="38"/>
      <c r="K187" s="4">
        <f t="shared" si="81"/>
        <v>0</v>
      </c>
      <c r="M187" s="38"/>
      <c r="N187" s="49"/>
      <c r="O187" s="43"/>
      <c r="P187" s="53"/>
      <c r="Q187" s="64"/>
      <c r="R187" s="64"/>
      <c r="S187" s="64"/>
      <c r="T187" s="64"/>
      <c r="U187" s="64"/>
      <c r="V187" s="64"/>
      <c r="W187" s="64"/>
      <c r="X187" s="64"/>
      <c r="Y187" s="64"/>
      <c r="Z187" s="64"/>
      <c r="AA187" s="64"/>
      <c r="AB187" s="64"/>
      <c r="AC187" s="64"/>
      <c r="AD187" s="64"/>
      <c r="AE187" s="64"/>
      <c r="AF187" s="64"/>
      <c r="AG187" s="64"/>
      <c r="AH187" s="64"/>
      <c r="AI187" s="64"/>
      <c r="AJ187" s="64"/>
      <c r="AK187" s="64"/>
      <c r="AL187" s="64"/>
    </row>
    <row r="188" spans="1:38">
      <c r="A188" s="62">
        <f>_xll.BDP($I188, A$179)/-1</f>
        <v>-2.5523000000000001E-2</v>
      </c>
      <c r="B188" s="62">
        <f>_xll.BDP($I188, B$179)/100</f>
        <v>0.13111627000000001</v>
      </c>
      <c r="C188" s="63">
        <f ca="1">B188*(MIN(SQRT(1/365),(SQRT(($B$174/365)))))</f>
        <v>6.862939235879756E-3</v>
      </c>
      <c r="D188" s="63">
        <f>(H188-$B$164)/100</f>
        <v>3.930000000000234E-2</v>
      </c>
      <c r="E188" s="63">
        <f ca="1">ABS(D188/$E$173)</f>
        <v>5.4040907266998452</v>
      </c>
      <c r="F188" s="63">
        <f ca="1">1-_xlfn.NORM.S.DIST(E188,1)</f>
        <v>3.2568985064429512E-8</v>
      </c>
      <c r="G188" s="63">
        <f>IF(D188&gt;0,0,0.25*$B$176)</f>
        <v>0</v>
      </c>
      <c r="H188" s="4">
        <v>157.50000000000023</v>
      </c>
      <c r="I188" t="str">
        <f>($I$179&amp;" "&amp;H188&amp;" COMB Curncy")</f>
        <v>3BV5C 157.5 COMB Curncy</v>
      </c>
      <c r="J188" s="38">
        <f ca="1">-1*CGBlackScholes("t","c",B$164,H188,$B$174/365,$B$166,$B$165,B188)/100</f>
        <v>3.4742854822163833E-4</v>
      </c>
      <c r="K188" s="4">
        <f ca="1">J188*P188</f>
        <v>0</v>
      </c>
      <c r="L188" s="56">
        <f ca="1">CGBlackScholes("g","c",B$164,H188,$B$174/365,$B$166,$B$165,B188)</f>
        <v>6.2567302593323507E-2</v>
      </c>
      <c r="M188" s="38" t="e">
        <f ca="1">((M189+M190)/2)/$B$174</f>
        <v>#VALUE!</v>
      </c>
      <c r="N188" s="49" t="e">
        <f ca="1">(MIN($J188,$M188) - $B$172*$B$173/10000*$F188)*10000</f>
        <v>#VALUE!</v>
      </c>
      <c r="O188" s="43" t="str">
        <f>ROUND((($M190*10000)+$B$173),0)&amp;" ticks"</f>
        <v>14 ticks</v>
      </c>
      <c r="P188" s="53">
        <f>SUM(Q187:AL187)</f>
        <v>0</v>
      </c>
      <c r="Q188" s="27" t="e">
        <f ca="1">(MIN(($J188+Q$174),($M188+Q$179))- $B$176 - (($B$172*$B$176)*MAX($F188,Q$170))-($G188+Q$171))* 10000</f>
        <v>#VALUE!</v>
      </c>
      <c r="R188" s="27" t="e">
        <f t="shared" ref="R188:AL188" ca="1" si="84">(MIN(($J188+R$174),($M188+R$179))- $B$176 - (($B$172*$B$176)*MAX($F188,R$170))-($G188+R$171))* 10000</f>
        <v>#VALUE!</v>
      </c>
      <c r="S188" s="27" t="e">
        <f t="shared" ca="1" si="84"/>
        <v>#VALUE!</v>
      </c>
      <c r="T188" s="27" t="e">
        <f t="shared" ca="1" si="84"/>
        <v>#VALUE!</v>
      </c>
      <c r="U188" s="27" t="e">
        <f t="shared" ca="1" si="84"/>
        <v>#VALUE!</v>
      </c>
      <c r="V188" s="27" t="e">
        <f t="shared" ca="1" si="84"/>
        <v>#VALUE!</v>
      </c>
      <c r="W188" s="27" t="e">
        <f t="shared" ca="1" si="84"/>
        <v>#VALUE!</v>
      </c>
      <c r="X188" s="27" t="e">
        <f t="shared" ca="1" si="84"/>
        <v>#VALUE!</v>
      </c>
      <c r="Y188" s="27" t="e">
        <f t="shared" ca="1" si="84"/>
        <v>#VALUE!</v>
      </c>
      <c r="Z188" s="27" t="e">
        <f t="shared" ca="1" si="84"/>
        <v>#VALUE!</v>
      </c>
      <c r="AA188" s="27" t="e">
        <f t="shared" ca="1" si="84"/>
        <v>#VALUE!</v>
      </c>
      <c r="AB188" s="27" t="e">
        <f t="shared" ca="1" si="84"/>
        <v>#VALUE!</v>
      </c>
      <c r="AC188" s="27" t="e">
        <f t="shared" ca="1" si="84"/>
        <v>#VALUE!</v>
      </c>
      <c r="AD188" s="27" t="e">
        <f t="shared" ca="1" si="84"/>
        <v>#VALUE!</v>
      </c>
      <c r="AE188" s="27" t="e">
        <f t="shared" ca="1" si="84"/>
        <v>#VALUE!</v>
      </c>
      <c r="AF188" s="27" t="e">
        <f t="shared" ca="1" si="84"/>
        <v>#VALUE!</v>
      </c>
      <c r="AG188" s="27" t="e">
        <f t="shared" ca="1" si="84"/>
        <v>#VALUE!</v>
      </c>
      <c r="AH188" s="27" t="e">
        <f t="shared" ca="1" si="84"/>
        <v>#VALUE!</v>
      </c>
      <c r="AI188" s="27" t="e">
        <f t="shared" ca="1" si="84"/>
        <v>#VALUE!</v>
      </c>
      <c r="AJ188" s="27" t="e">
        <f t="shared" ca="1" si="84"/>
        <v>#VALUE!</v>
      </c>
      <c r="AK188" s="27" t="e">
        <f t="shared" ca="1" si="84"/>
        <v>#VALUE!</v>
      </c>
      <c r="AL188" s="27" t="e">
        <f t="shared" ca="1" si="84"/>
        <v>#VALUE!</v>
      </c>
    </row>
    <row r="189" spans="1:38">
      <c r="A189" s="62"/>
      <c r="B189" s="62"/>
      <c r="C189" s="63"/>
      <c r="D189" s="63"/>
      <c r="E189" s="63"/>
      <c r="F189" s="63"/>
      <c r="G189" s="63"/>
      <c r="J189" s="38"/>
      <c r="K189" s="4">
        <f t="shared" ref="K189:K191" si="85">J189*P189</f>
        <v>0</v>
      </c>
      <c r="L189" s="56" t="s">
        <v>60</v>
      </c>
      <c r="M189" s="38" t="e">
        <f>IF(D188&gt;0,_xll.BDP(I188,"BID")/100,(_xll.BDP(I188,"BID")/100)+D188)</f>
        <v>#VALUE!</v>
      </c>
      <c r="N189" s="49"/>
      <c r="O189" s="43"/>
      <c r="P189" s="53"/>
      <c r="Q189" s="27">
        <f>Q$165+$A188</f>
        <v>-1.5503000000000001E-2</v>
      </c>
      <c r="R189" s="27">
        <f t="shared" ref="R189" si="86">R$165+$A188</f>
        <v>-1.4832E-2</v>
      </c>
      <c r="S189" s="27">
        <f t="shared" ref="S189" si="87">S$165+$A188</f>
        <v>-1.4042000000000001E-2</v>
      </c>
      <c r="T189" s="27">
        <f t="shared" ref="T189" si="88">T$165+$A188</f>
        <v>-1.3205E-2</v>
      </c>
      <c r="U189" s="27">
        <f t="shared" ref="U189" si="89">U$165+$A188</f>
        <v>-1.2303E-2</v>
      </c>
      <c r="V189" s="27">
        <f t="shared" ref="V189" si="90">V$165+$A188</f>
        <v>-1.107E-2</v>
      </c>
      <c r="W189" s="27">
        <f t="shared" ref="W189" si="91">W$165+$A188</f>
        <v>1.4419999999999988E-3</v>
      </c>
      <c r="X189" s="27">
        <f t="shared" ref="X189" si="92">X$165+$A188</f>
        <v>4.4310000000000009E-3</v>
      </c>
      <c r="Y189" s="27">
        <f t="shared" ref="Y189" si="93">Y$165+$A188</f>
        <v>-5.167999999999999E-3</v>
      </c>
      <c r="Z189" s="27">
        <f t="shared" ref="Z189" si="94">Z$165+$A188</f>
        <v>3.9800999999999989E-2</v>
      </c>
      <c r="AA189" s="27">
        <f t="shared" ref="AA189" si="95">AA$165+$A188</f>
        <v>8.6862999999999996E-2</v>
      </c>
      <c r="AB189" s="27">
        <f t="shared" ref="AB189" si="96">AB$165+$A188</f>
        <v>0.178008</v>
      </c>
      <c r="AC189" s="27">
        <f t="shared" ref="AC189" si="97">AC$165+$A188</f>
        <v>0.30082199999999998</v>
      </c>
      <c r="AD189" s="27">
        <f t="shared" ref="AD189" si="98">AD$165+$A188</f>
        <v>0.45355599999999996</v>
      </c>
      <c r="AE189" s="27">
        <f t="shared" ref="AE189" si="99">AE$165+$A188</f>
        <v>0.60092200000000007</v>
      </c>
      <c r="AF189" s="27">
        <f t="shared" ref="AF189" si="100">AF$165+$A188</f>
        <v>0.73264200000000002</v>
      </c>
      <c r="AG189" s="27">
        <f t="shared" ref="AG189" si="101">AG$165+$A188</f>
        <v>0.83353600000000005</v>
      </c>
      <c r="AH189" s="27">
        <f t="shared" ref="AH189" si="102">AH$165+$A188</f>
        <v>0.87877800000000006</v>
      </c>
      <c r="AI189" s="27">
        <f t="shared" ref="AI189" si="103">AI$165+$A188</f>
        <v>0.91398200000000007</v>
      </c>
      <c r="AJ189" s="27">
        <f t="shared" ref="AJ189" si="104">AJ$165+$A188</f>
        <v>0.93157100000000004</v>
      </c>
      <c r="AK189" s="27">
        <f t="shared" ref="AK189" si="105">AK$165+$A188</f>
        <v>0.94574200000000008</v>
      </c>
      <c r="AL189" s="27">
        <f t="shared" ref="AL189" si="106">AL$165+$A188</f>
        <v>0.95343800000000001</v>
      </c>
    </row>
    <row r="190" spans="1:38" ht="12.75" thickBot="1">
      <c r="A190" s="62"/>
      <c r="B190" s="62"/>
      <c r="C190" s="63"/>
      <c r="D190" s="63"/>
      <c r="E190" s="63"/>
      <c r="F190" s="63"/>
      <c r="G190" s="63"/>
      <c r="J190" s="38"/>
      <c r="K190" s="4">
        <f t="shared" si="85"/>
        <v>0</v>
      </c>
      <c r="L190" s="56" t="s">
        <v>61</v>
      </c>
      <c r="M190" s="38">
        <f>IF(D188&gt;0,_xll.BDP(I188,"ASK")/100,(_xll.BDP(I188,"ASK")/100)+D188)</f>
        <v>2.0000000000000001E-4</v>
      </c>
      <c r="N190" s="49"/>
      <c r="O190" s="43"/>
      <c r="P190" s="53"/>
      <c r="Q190" s="29" t="str">
        <f>$H188&amp;$H$179&amp;"_"&amp;Q$172&amp;$P$172</f>
        <v>157.5C_147P</v>
      </c>
      <c r="R190" s="29" t="str">
        <f t="shared" ref="R190:AL190" si="107">$H188&amp;$H$179&amp;"_"&amp;R$172&amp;$P$172</f>
        <v>157.5C_147.5P</v>
      </c>
      <c r="S190" s="29" t="str">
        <f t="shared" si="107"/>
        <v>157.5C_148P</v>
      </c>
      <c r="T190" s="29" t="str">
        <f t="shared" si="107"/>
        <v>157.5C_148.5P</v>
      </c>
      <c r="U190" s="29" t="str">
        <f t="shared" si="107"/>
        <v>157.5C_149P</v>
      </c>
      <c r="V190" s="29" t="str">
        <f t="shared" si="107"/>
        <v>157.5C_149.5P</v>
      </c>
      <c r="W190" s="29" t="str">
        <f t="shared" si="107"/>
        <v>157.5C_150P</v>
      </c>
      <c r="X190" s="29" t="str">
        <f t="shared" si="107"/>
        <v>157.5C_150.5P</v>
      </c>
      <c r="Y190" s="29" t="str">
        <f t="shared" si="107"/>
        <v>157.5C_151P</v>
      </c>
      <c r="Z190" s="29" t="str">
        <f t="shared" si="107"/>
        <v>157.5C_151.5P</v>
      </c>
      <c r="AA190" s="29" t="str">
        <f t="shared" si="107"/>
        <v>157.5C_152P</v>
      </c>
      <c r="AB190" s="29" t="str">
        <f t="shared" si="107"/>
        <v>157.5C_152.5P</v>
      </c>
      <c r="AC190" s="29" t="str">
        <f t="shared" si="107"/>
        <v>157.5C_153P</v>
      </c>
      <c r="AD190" s="29" t="str">
        <f t="shared" si="107"/>
        <v>157.5C_153.5P</v>
      </c>
      <c r="AE190" s="29" t="str">
        <f t="shared" si="107"/>
        <v>157.5C_154P</v>
      </c>
      <c r="AF190" s="29" t="str">
        <f t="shared" si="107"/>
        <v>157.5C_154.5P</v>
      </c>
      <c r="AG190" s="29" t="str">
        <f t="shared" si="107"/>
        <v>157.5C_155P</v>
      </c>
      <c r="AH190" s="29" t="str">
        <f t="shared" si="107"/>
        <v>157.5C_155.5P</v>
      </c>
      <c r="AI190" s="29" t="str">
        <f t="shared" si="107"/>
        <v>157.5C_156P</v>
      </c>
      <c r="AJ190" s="29" t="str">
        <f t="shared" si="107"/>
        <v>157.5C_156.5P</v>
      </c>
      <c r="AK190" s="29" t="str">
        <f t="shared" si="107"/>
        <v>157.5C_157P</v>
      </c>
      <c r="AL190" s="29" t="str">
        <f t="shared" si="107"/>
        <v>157.5C_157.5P</v>
      </c>
    </row>
    <row r="191" spans="1:38" ht="12.75" thickTop="1">
      <c r="A191" s="62"/>
      <c r="B191" s="62"/>
      <c r="C191" s="63"/>
      <c r="D191" s="63"/>
      <c r="E191" s="63"/>
      <c r="F191" s="63"/>
      <c r="G191" s="63"/>
      <c r="J191" s="38"/>
      <c r="K191" s="4">
        <f t="shared" si="85"/>
        <v>0</v>
      </c>
      <c r="M191" s="38"/>
      <c r="N191" s="49"/>
      <c r="O191" s="43"/>
      <c r="P191" s="53"/>
      <c r="Q191" s="64"/>
      <c r="R191" s="64"/>
      <c r="S191" s="64"/>
      <c r="T191" s="64"/>
      <c r="U191" s="64"/>
      <c r="V191" s="64"/>
      <c r="W191" s="64"/>
      <c r="X191" s="64"/>
      <c r="Y191" s="64"/>
      <c r="Z191" s="64"/>
      <c r="AA191" s="64"/>
      <c r="AB191" s="64"/>
      <c r="AC191" s="64"/>
      <c r="AD191" s="64"/>
      <c r="AE191" s="64"/>
      <c r="AF191" s="64"/>
      <c r="AG191" s="64"/>
      <c r="AH191" s="64"/>
      <c r="AI191" s="64"/>
      <c r="AJ191" s="64"/>
      <c r="AK191" s="64"/>
      <c r="AL191" s="64"/>
    </row>
    <row r="192" spans="1:38">
      <c r="A192" s="62">
        <f>_xll.BDP($I192, A$179)/-1</f>
        <v>-2.8662E-2</v>
      </c>
      <c r="B192" s="62">
        <f>_xll.BDP($I192, B$179)/100</f>
        <v>0.11599807000000001</v>
      </c>
      <c r="C192" s="63">
        <f ca="1">B192*(MIN(SQRT(1/365),(SQRT(($B$174/365)))))</f>
        <v>6.0716164812294193E-3</v>
      </c>
      <c r="D192" s="63">
        <f>(H192-$B$164)/100</f>
        <v>3.4300000000002343E-2</v>
      </c>
      <c r="E192" s="63">
        <f ca="1">ABS(D192/$E$173)</f>
        <v>4.7165473772469797</v>
      </c>
      <c r="F192" s="63">
        <f ca="1">1-_xlfn.NORM.S.DIST(E192,1)</f>
        <v>1.1994026399841928E-6</v>
      </c>
      <c r="G192" s="63">
        <f>IF(D192&gt;0,0,0.25*$B$176)</f>
        <v>0</v>
      </c>
      <c r="H192" s="4">
        <v>157.00000000000023</v>
      </c>
      <c r="I192" t="str">
        <f>($I$179&amp;" "&amp;H192&amp;" COMB Curncy")</f>
        <v>3BV5C 157 COMB Curncy</v>
      </c>
      <c r="J192" s="38">
        <f ca="1">-1*CGBlackScholes("t","c",B$164,H192,$B$174/365,$B$166,$B$165,B192)/100</f>
        <v>3.1127242563852575E-4</v>
      </c>
      <c r="K192" s="4">
        <f ca="1">J192*P192</f>
        <v>0</v>
      </c>
      <c r="L192" s="56">
        <f ca="1">CGBlackScholes("g","c",B$164,H192,$B$174/365,$B$166,$B$165,B192)</f>
        <v>7.162014667974588E-2</v>
      </c>
      <c r="M192" s="38" t="e">
        <f ca="1">((M193+M194)/2)/$B$174</f>
        <v>#VALUE!</v>
      </c>
      <c r="N192" s="49" t="e">
        <f ca="1">(MIN($J192,$M192) - $B$172*$B$173/10000*$F192)*10000</f>
        <v>#VALUE!</v>
      </c>
      <c r="O192" s="43" t="str">
        <f>ROUND((($M194*10000)+$B$173),0)&amp;" ticks"</f>
        <v>14 ticks</v>
      </c>
      <c r="P192" s="53">
        <f>SUM(Q191:AL191)</f>
        <v>0</v>
      </c>
      <c r="Q192" s="27" t="e">
        <f ca="1">(MIN(($J192+Q$174),($M192+Q$179))- $B$176 - (($B$172*$B$176)*MAX($F192,Q$170))-($G192+Q$171))* 10000</f>
        <v>#VALUE!</v>
      </c>
      <c r="R192" s="27" t="e">
        <f t="shared" ref="R192:AL192" ca="1" si="108">(MIN(($J192+R$174),($M192+R$179))- $B$176 - (($B$172*$B$176)*MAX($F192,R$170))-($G192+R$171))* 10000</f>
        <v>#VALUE!</v>
      </c>
      <c r="S192" s="27" t="e">
        <f t="shared" ca="1" si="108"/>
        <v>#VALUE!</v>
      </c>
      <c r="T192" s="27" t="e">
        <f t="shared" ca="1" si="108"/>
        <v>#VALUE!</v>
      </c>
      <c r="U192" s="27" t="e">
        <f t="shared" ca="1" si="108"/>
        <v>#VALUE!</v>
      </c>
      <c r="V192" s="27" t="e">
        <f t="shared" ca="1" si="108"/>
        <v>#VALUE!</v>
      </c>
      <c r="W192" s="27" t="e">
        <f t="shared" ca="1" si="108"/>
        <v>#VALUE!</v>
      </c>
      <c r="X192" s="27" t="e">
        <f t="shared" ca="1" si="108"/>
        <v>#VALUE!</v>
      </c>
      <c r="Y192" s="27" t="e">
        <f t="shared" ca="1" si="108"/>
        <v>#VALUE!</v>
      </c>
      <c r="Z192" s="27" t="e">
        <f t="shared" ca="1" si="108"/>
        <v>#VALUE!</v>
      </c>
      <c r="AA192" s="27" t="e">
        <f t="shared" ca="1" si="108"/>
        <v>#VALUE!</v>
      </c>
      <c r="AB192" s="27" t="e">
        <f t="shared" ca="1" si="108"/>
        <v>#VALUE!</v>
      </c>
      <c r="AC192" s="27" t="e">
        <f t="shared" ca="1" si="108"/>
        <v>#VALUE!</v>
      </c>
      <c r="AD192" s="27" t="e">
        <f t="shared" ca="1" si="108"/>
        <v>#VALUE!</v>
      </c>
      <c r="AE192" s="27" t="e">
        <f t="shared" ca="1" si="108"/>
        <v>#VALUE!</v>
      </c>
      <c r="AF192" s="27" t="e">
        <f t="shared" ca="1" si="108"/>
        <v>#VALUE!</v>
      </c>
      <c r="AG192" s="27" t="e">
        <f t="shared" ca="1" si="108"/>
        <v>#VALUE!</v>
      </c>
      <c r="AH192" s="27" t="e">
        <f t="shared" ca="1" si="108"/>
        <v>#VALUE!</v>
      </c>
      <c r="AI192" s="27" t="e">
        <f t="shared" ca="1" si="108"/>
        <v>#VALUE!</v>
      </c>
      <c r="AJ192" s="27" t="e">
        <f t="shared" ca="1" si="108"/>
        <v>#VALUE!</v>
      </c>
      <c r="AK192" s="27" t="e">
        <f t="shared" ca="1" si="108"/>
        <v>#VALUE!</v>
      </c>
      <c r="AL192" s="27" t="e">
        <f t="shared" ca="1" si="108"/>
        <v>#VALUE!</v>
      </c>
    </row>
    <row r="193" spans="1:38">
      <c r="A193" s="62"/>
      <c r="B193" s="62"/>
      <c r="C193" s="63"/>
      <c r="D193" s="63"/>
      <c r="E193" s="63"/>
      <c r="F193" s="63"/>
      <c r="G193" s="63"/>
      <c r="J193" s="38"/>
      <c r="K193" s="4">
        <f t="shared" ref="K193:K195" si="109">J193*P193</f>
        <v>0</v>
      </c>
      <c r="L193" s="56" t="s">
        <v>60</v>
      </c>
      <c r="M193" s="38" t="e">
        <f>IF(D192&gt;0,_xll.BDP(I192,"BID")/100,(_xll.BDP(I192,"BID")/100)+D192)</f>
        <v>#VALUE!</v>
      </c>
      <c r="N193" s="49"/>
      <c r="O193" s="43"/>
      <c r="P193" s="53"/>
      <c r="Q193" s="27">
        <f>Q$165+$A192</f>
        <v>-1.8641999999999999E-2</v>
      </c>
      <c r="R193" s="27">
        <f t="shared" ref="R193" si="110">R$165+$A192</f>
        <v>-1.7971000000000001E-2</v>
      </c>
      <c r="S193" s="27">
        <f t="shared" ref="S193" si="111">S$165+$A192</f>
        <v>-1.7181000000000002E-2</v>
      </c>
      <c r="T193" s="27">
        <f t="shared" ref="T193" si="112">T$165+$A192</f>
        <v>-1.6343999999999997E-2</v>
      </c>
      <c r="U193" s="27">
        <f t="shared" ref="U193" si="113">U$165+$A192</f>
        <v>-1.5441999999999999E-2</v>
      </c>
      <c r="V193" s="27">
        <f t="shared" ref="V193" si="114">V$165+$A192</f>
        <v>-1.4208999999999999E-2</v>
      </c>
      <c r="W193" s="27">
        <f t="shared" ref="W193" si="115">W$165+$A192</f>
        <v>-1.6970000000000006E-3</v>
      </c>
      <c r="X193" s="27">
        <f t="shared" ref="X193" si="116">X$165+$A192</f>
        <v>1.2920000000000015E-3</v>
      </c>
      <c r="Y193" s="27">
        <f t="shared" ref="Y193" si="117">Y$165+$A192</f>
        <v>-8.3069999999999984E-3</v>
      </c>
      <c r="Z193" s="27">
        <f t="shared" ref="Z193" si="118">Z$165+$A192</f>
        <v>3.6661999999999993E-2</v>
      </c>
      <c r="AA193" s="27">
        <f t="shared" ref="AA193" si="119">AA$165+$A192</f>
        <v>8.3723999999999993E-2</v>
      </c>
      <c r="AB193" s="27">
        <f t="shared" ref="AB193" si="120">AB$165+$A192</f>
        <v>0.174869</v>
      </c>
      <c r="AC193" s="27">
        <f t="shared" ref="AC193" si="121">AC$165+$A192</f>
        <v>0.29768299999999998</v>
      </c>
      <c r="AD193" s="27">
        <f t="shared" ref="AD193" si="122">AD$165+$A192</f>
        <v>0.45041699999999996</v>
      </c>
      <c r="AE193" s="27">
        <f t="shared" ref="AE193" si="123">AE$165+$A192</f>
        <v>0.59778300000000006</v>
      </c>
      <c r="AF193" s="27">
        <f t="shared" ref="AF193" si="124">AF$165+$A192</f>
        <v>0.72950300000000001</v>
      </c>
      <c r="AG193" s="27">
        <f t="shared" ref="AG193" si="125">AG$165+$A192</f>
        <v>0.83039700000000005</v>
      </c>
      <c r="AH193" s="27">
        <f t="shared" ref="AH193" si="126">AH$165+$A192</f>
        <v>0.87563900000000006</v>
      </c>
      <c r="AI193" s="27">
        <f t="shared" ref="AI193" si="127">AI$165+$A192</f>
        <v>0.91084300000000007</v>
      </c>
      <c r="AJ193" s="27">
        <f t="shared" ref="AJ193" si="128">AJ$165+$A192</f>
        <v>0.92843200000000004</v>
      </c>
      <c r="AK193" s="27">
        <f t="shared" ref="AK193" si="129">AK$165+$A192</f>
        <v>0.94260300000000008</v>
      </c>
      <c r="AL193" s="27">
        <f t="shared" ref="AL193" si="130">AL$165+$A192</f>
        <v>0.950299</v>
      </c>
    </row>
    <row r="194" spans="1:38" ht="12.75" thickBot="1">
      <c r="A194" s="62"/>
      <c r="B194" s="62"/>
      <c r="C194" s="63"/>
      <c r="D194" s="63"/>
      <c r="E194" s="63"/>
      <c r="F194" s="63"/>
      <c r="G194" s="63"/>
      <c r="J194" s="38"/>
      <c r="K194" s="4">
        <f t="shared" si="109"/>
        <v>0</v>
      </c>
      <c r="L194" s="56" t="s">
        <v>61</v>
      </c>
      <c r="M194" s="38">
        <f>IF(D192&gt;0,_xll.BDP(I192,"ASK")/100,(_xll.BDP(I192,"ASK")/100)+D192)</f>
        <v>2.0000000000000001E-4</v>
      </c>
      <c r="N194" s="49"/>
      <c r="O194" s="43"/>
      <c r="P194" s="53"/>
      <c r="Q194" s="29" t="str">
        <f>$H192&amp;$H$179&amp;"_"&amp;Q$172&amp;$P$172</f>
        <v>157C_147P</v>
      </c>
      <c r="R194" s="29" t="str">
        <f t="shared" ref="R194:AL194" si="131">$H192&amp;$H$179&amp;"_"&amp;R$172&amp;$P$172</f>
        <v>157C_147.5P</v>
      </c>
      <c r="S194" s="29" t="str">
        <f t="shared" si="131"/>
        <v>157C_148P</v>
      </c>
      <c r="T194" s="29" t="str">
        <f t="shared" si="131"/>
        <v>157C_148.5P</v>
      </c>
      <c r="U194" s="29" t="str">
        <f t="shared" si="131"/>
        <v>157C_149P</v>
      </c>
      <c r="V194" s="29" t="str">
        <f t="shared" si="131"/>
        <v>157C_149.5P</v>
      </c>
      <c r="W194" s="29" t="str">
        <f t="shared" si="131"/>
        <v>157C_150P</v>
      </c>
      <c r="X194" s="29" t="str">
        <f t="shared" si="131"/>
        <v>157C_150.5P</v>
      </c>
      <c r="Y194" s="29" t="str">
        <f t="shared" si="131"/>
        <v>157C_151P</v>
      </c>
      <c r="Z194" s="29" t="str">
        <f t="shared" si="131"/>
        <v>157C_151.5P</v>
      </c>
      <c r="AA194" s="29" t="str">
        <f t="shared" si="131"/>
        <v>157C_152P</v>
      </c>
      <c r="AB194" s="29" t="str">
        <f t="shared" si="131"/>
        <v>157C_152.5P</v>
      </c>
      <c r="AC194" s="29" t="str">
        <f t="shared" si="131"/>
        <v>157C_153P</v>
      </c>
      <c r="AD194" s="29" t="str">
        <f t="shared" si="131"/>
        <v>157C_153.5P</v>
      </c>
      <c r="AE194" s="29" t="str">
        <f t="shared" si="131"/>
        <v>157C_154P</v>
      </c>
      <c r="AF194" s="29" t="str">
        <f t="shared" si="131"/>
        <v>157C_154.5P</v>
      </c>
      <c r="AG194" s="29" t="str">
        <f t="shared" si="131"/>
        <v>157C_155P</v>
      </c>
      <c r="AH194" s="29" t="str">
        <f t="shared" si="131"/>
        <v>157C_155.5P</v>
      </c>
      <c r="AI194" s="29" t="str">
        <f t="shared" si="131"/>
        <v>157C_156P</v>
      </c>
      <c r="AJ194" s="29" t="str">
        <f t="shared" si="131"/>
        <v>157C_156.5P</v>
      </c>
      <c r="AK194" s="29" t="str">
        <f t="shared" si="131"/>
        <v>157C_157P</v>
      </c>
      <c r="AL194" s="29" t="str">
        <f t="shared" si="131"/>
        <v>157C_157.5P</v>
      </c>
    </row>
    <row r="195" spans="1:38" ht="12.75" thickTop="1">
      <c r="A195" s="62"/>
      <c r="B195" s="62"/>
      <c r="C195" s="63"/>
      <c r="D195" s="63"/>
      <c r="E195" s="63"/>
      <c r="F195" s="63"/>
      <c r="G195" s="63"/>
      <c r="J195" s="38"/>
      <c r="K195" s="4">
        <f t="shared" si="109"/>
        <v>0</v>
      </c>
      <c r="M195" s="38"/>
      <c r="N195" s="49"/>
      <c r="O195" s="43"/>
      <c r="P195" s="53"/>
      <c r="Q195" s="64"/>
      <c r="R195" s="64"/>
      <c r="S195" s="64"/>
      <c r="T195" s="64"/>
      <c r="U195" s="64"/>
      <c r="V195" s="64"/>
      <c r="W195" s="64"/>
      <c r="X195" s="64"/>
      <c r="Y195" s="64"/>
      <c r="Z195" s="64"/>
      <c r="AA195" s="64"/>
      <c r="AB195" s="64"/>
      <c r="AC195" s="64"/>
      <c r="AD195" s="64"/>
      <c r="AE195" s="64"/>
      <c r="AF195" s="64"/>
      <c r="AG195" s="64"/>
      <c r="AH195" s="64"/>
      <c r="AI195" s="64"/>
      <c r="AJ195" s="64"/>
      <c r="AK195" s="64"/>
      <c r="AL195" s="64"/>
    </row>
    <row r="196" spans="1:38">
      <c r="A196" s="62">
        <f>_xll.BDP($I196, A$179)/-1</f>
        <v>-3.2050000000000002E-2</v>
      </c>
      <c r="B196" s="62">
        <f>_xll.BDP($I196, B$179)/100</f>
        <v>0.10203126</v>
      </c>
      <c r="C196" s="63">
        <f ca="1">B196*(MIN(SQRT(1/365),(SQRT(($B$174/365)))))</f>
        <v>5.3405602336021969E-3</v>
      </c>
      <c r="D196" s="63">
        <f>(H196-$B$164)/100</f>
        <v>2.9300000000002342E-2</v>
      </c>
      <c r="E196" s="63">
        <f ca="1">ABS(D196/$E$173)</f>
        <v>4.0290040277941142</v>
      </c>
      <c r="F196" s="63">
        <f ca="1">1-_xlfn.NORM.S.DIST(E196,1)</f>
        <v>2.8006829372761999E-5</v>
      </c>
      <c r="G196" s="63">
        <f>IF(D196&gt;0,0,0.25*$B$176)</f>
        <v>0</v>
      </c>
      <c r="H196" s="4">
        <v>156.50000000000023</v>
      </c>
      <c r="I196" t="str">
        <f>($I$179&amp;" "&amp;H196&amp;" COMB Curncy")</f>
        <v>3BV5C 156.5 COMB Curncy</v>
      </c>
      <c r="J196" s="38">
        <f ca="1">-1*CGBlackScholes("t","c",B$164,H196,$B$174/365,$B$166,$B$165,B196)/100</f>
        <v>2.8211665103929117E-4</v>
      </c>
      <c r="K196" s="4">
        <f ca="1">J196*P196</f>
        <v>0</v>
      </c>
      <c r="L196" s="56">
        <f ca="1">CGBlackScholes("g","c",B$164,H196,$B$174/365,$B$166,$B$165,B196)</f>
        <v>8.3899733641049898E-2</v>
      </c>
      <c r="M196" s="38">
        <f ca="1">((M197+M198)/2)/$B$174</f>
        <v>1.7706026292154546E-5</v>
      </c>
      <c r="N196" s="49">
        <f ca="1">(MIN($J196,$M196) - $B$172*$B$173/10000*$F196)*10000</f>
        <v>0.17369944339681404</v>
      </c>
      <c r="O196" s="43" t="str">
        <f>ROUND((($M198*10000)+$B$173),0)&amp;" ticks"</f>
        <v>15 ticks</v>
      </c>
      <c r="P196" s="53">
        <f>SUM(Q195:AL195)</f>
        <v>0</v>
      </c>
      <c r="Q196" s="27" t="e">
        <f ca="1">(MIN(($J196+Q$174),($M196+Q$179))- $B$176 - (($B$172*$B$176)*MAX($F196,Q$170))-($G196+Q$171))* 10000</f>
        <v>#VALUE!</v>
      </c>
      <c r="R196" s="27" t="e">
        <f t="shared" ref="R196:AL196" ca="1" si="132">(MIN(($J196+R$174),($M196+R$179))- $B$176 - (($B$172*$B$176)*MAX($F196,R$170))-($G196+R$171))* 10000</f>
        <v>#VALUE!</v>
      </c>
      <c r="S196" s="27" t="e">
        <f t="shared" ca="1" si="132"/>
        <v>#VALUE!</v>
      </c>
      <c r="T196" s="27" t="e">
        <f t="shared" ca="1" si="132"/>
        <v>#VALUE!</v>
      </c>
      <c r="U196" s="27" t="e">
        <f t="shared" ca="1" si="132"/>
        <v>#VALUE!</v>
      </c>
      <c r="V196" s="27" t="e">
        <f t="shared" ca="1" si="132"/>
        <v>#VALUE!</v>
      </c>
      <c r="W196" s="27" t="e">
        <f t="shared" ca="1" si="132"/>
        <v>#VALUE!</v>
      </c>
      <c r="X196" s="27" t="e">
        <f t="shared" ca="1" si="132"/>
        <v>#VALUE!</v>
      </c>
      <c r="Y196" s="27">
        <f t="shared" ca="1" si="132"/>
        <v>-0.71041551024878391</v>
      </c>
      <c r="Z196" s="27">
        <f t="shared" ca="1" si="132"/>
        <v>-0.55466563134993307</v>
      </c>
      <c r="AA196" s="27">
        <f t="shared" ca="1" si="132"/>
        <v>-0.42950749079044415</v>
      </c>
      <c r="AB196" s="27">
        <f t="shared" ca="1" si="132"/>
        <v>-0.35163341030591411</v>
      </c>
      <c r="AC196" s="27">
        <f t="shared" ca="1" si="132"/>
        <v>-0.79583886451021268</v>
      </c>
      <c r="AD196" s="27">
        <f t="shared" ca="1" si="132"/>
        <v>-1.673133792412141</v>
      </c>
      <c r="AE196" s="27">
        <f t="shared" ca="1" si="132"/>
        <v>-1.2181460165626807</v>
      </c>
      <c r="AF196" s="27">
        <f t="shared" ca="1" si="132"/>
        <v>-0.66905782008222614</v>
      </c>
      <c r="AG196" s="27">
        <f t="shared" ca="1" si="132"/>
        <v>-0.48296069366319594</v>
      </c>
      <c r="AH196" s="27">
        <f t="shared" ca="1" si="132"/>
        <v>-0.70623849152128015</v>
      </c>
      <c r="AI196" s="27">
        <f t="shared" ca="1" si="132"/>
        <v>-0.88972811263230533</v>
      </c>
      <c r="AJ196" s="27">
        <f t="shared" ca="1" si="132"/>
        <v>-0.97412897986491476</v>
      </c>
      <c r="AK196" s="27">
        <f t="shared" ca="1" si="132"/>
        <v>-1.0626591113256869</v>
      </c>
      <c r="AL196" s="27">
        <f t="shared" ca="1" si="132"/>
        <v>-1.1069241770560747</v>
      </c>
    </row>
    <row r="197" spans="1:38">
      <c r="A197" s="62"/>
      <c r="B197" s="62"/>
      <c r="C197" s="63"/>
      <c r="D197" s="63"/>
      <c r="E197" s="63"/>
      <c r="F197" s="63"/>
      <c r="G197" s="63"/>
      <c r="J197" s="38"/>
      <c r="K197" s="4">
        <f t="shared" ref="K197:K199" si="133">J197*P197</f>
        <v>0</v>
      </c>
      <c r="L197" s="56" t="s">
        <v>60</v>
      </c>
      <c r="M197" s="38">
        <f>IF(D196&gt;0,_xll.BDP(I196,"BID")/100,(_xll.BDP(I196,"BID")/100)+D196)</f>
        <v>1E-4</v>
      </c>
      <c r="N197" s="49"/>
      <c r="O197" s="43"/>
      <c r="P197" s="53"/>
      <c r="Q197" s="27">
        <f>Q$165+$A196</f>
        <v>-2.2030000000000001E-2</v>
      </c>
      <c r="R197" s="27">
        <f t="shared" ref="R197" si="134">R$165+$A196</f>
        <v>-2.1359000000000003E-2</v>
      </c>
      <c r="S197" s="27">
        <f t="shared" ref="S197" si="135">S$165+$A196</f>
        <v>-2.0569000000000004E-2</v>
      </c>
      <c r="T197" s="27">
        <f t="shared" ref="T197" si="136">T$165+$A196</f>
        <v>-1.9732E-2</v>
      </c>
      <c r="U197" s="27">
        <f t="shared" ref="U197" si="137">U$165+$A196</f>
        <v>-1.883E-2</v>
      </c>
      <c r="V197" s="27">
        <f t="shared" ref="V197" si="138">V$165+$A196</f>
        <v>-1.7597000000000002E-2</v>
      </c>
      <c r="W197" s="27">
        <f t="shared" ref="W197" si="139">W$165+$A196</f>
        <v>-5.0850000000000027E-3</v>
      </c>
      <c r="X197" s="27">
        <f t="shared" ref="X197" si="140">X$165+$A196</f>
        <v>-2.0960000000000006E-3</v>
      </c>
      <c r="Y197" s="27">
        <f t="shared" ref="Y197" si="141">Y$165+$A196</f>
        <v>-1.1695000000000001E-2</v>
      </c>
      <c r="Z197" s="27">
        <f t="shared" ref="Z197" si="142">Z$165+$A196</f>
        <v>3.3273999999999991E-2</v>
      </c>
      <c r="AA197" s="27">
        <f t="shared" ref="AA197" si="143">AA$165+$A196</f>
        <v>8.0335999999999991E-2</v>
      </c>
      <c r="AB197" s="27">
        <f t="shared" ref="AB197" si="144">AB$165+$A196</f>
        <v>0.17148099999999999</v>
      </c>
      <c r="AC197" s="27">
        <f t="shared" ref="AC197" si="145">AC$165+$A196</f>
        <v>0.29429499999999997</v>
      </c>
      <c r="AD197" s="27">
        <f t="shared" ref="AD197" si="146">AD$165+$A196</f>
        <v>0.44702899999999995</v>
      </c>
      <c r="AE197" s="27">
        <f t="shared" ref="AE197" si="147">AE$165+$A196</f>
        <v>0.59439500000000001</v>
      </c>
      <c r="AF197" s="27">
        <f t="shared" ref="AF197" si="148">AF$165+$A196</f>
        <v>0.72611499999999995</v>
      </c>
      <c r="AG197" s="27">
        <f t="shared" ref="AG197" si="149">AG$165+$A196</f>
        <v>0.82700899999999999</v>
      </c>
      <c r="AH197" s="27">
        <f t="shared" ref="AH197" si="150">AH$165+$A196</f>
        <v>0.872251</v>
      </c>
      <c r="AI197" s="27">
        <f t="shared" ref="AI197" si="151">AI$165+$A196</f>
        <v>0.90745500000000001</v>
      </c>
      <c r="AJ197" s="27">
        <f t="shared" ref="AJ197" si="152">AJ$165+$A196</f>
        <v>0.92504399999999998</v>
      </c>
      <c r="AK197" s="27">
        <f t="shared" ref="AK197" si="153">AK$165+$A196</f>
        <v>0.93921500000000002</v>
      </c>
      <c r="AL197" s="27">
        <f t="shared" ref="AL197" si="154">AL$165+$A196</f>
        <v>0.94691099999999995</v>
      </c>
    </row>
    <row r="198" spans="1:38" ht="12.75" thickBot="1">
      <c r="A198" s="62"/>
      <c r="B198" s="62"/>
      <c r="C198" s="63"/>
      <c r="D198" s="63"/>
      <c r="E198" s="63"/>
      <c r="F198" s="63"/>
      <c r="G198" s="63"/>
      <c r="J198" s="38"/>
      <c r="K198" s="4">
        <f t="shared" si="133"/>
        <v>0</v>
      </c>
      <c r="L198" s="56" t="s">
        <v>61</v>
      </c>
      <c r="M198" s="38">
        <f>IF(D196&gt;0,_xll.BDP(I196,"ASK")/100,(_xll.BDP(I196,"ASK")/100)+D196)</f>
        <v>2.9999999999999997E-4</v>
      </c>
      <c r="N198" s="49"/>
      <c r="O198" s="43"/>
      <c r="P198" s="53"/>
      <c r="Q198" s="29" t="str">
        <f>$H196&amp;$H$179&amp;"_"&amp;Q$172&amp;$P$172</f>
        <v>156.5C_147P</v>
      </c>
      <c r="R198" s="29" t="str">
        <f t="shared" ref="R198:AL198" si="155">$H196&amp;$H$179&amp;"_"&amp;R$172&amp;$P$172</f>
        <v>156.5C_147.5P</v>
      </c>
      <c r="S198" s="29" t="str">
        <f t="shared" si="155"/>
        <v>156.5C_148P</v>
      </c>
      <c r="T198" s="29" t="str">
        <f t="shared" si="155"/>
        <v>156.5C_148.5P</v>
      </c>
      <c r="U198" s="29" t="str">
        <f t="shared" si="155"/>
        <v>156.5C_149P</v>
      </c>
      <c r="V198" s="29" t="str">
        <f t="shared" si="155"/>
        <v>156.5C_149.5P</v>
      </c>
      <c r="W198" s="29" t="str">
        <f t="shared" si="155"/>
        <v>156.5C_150P</v>
      </c>
      <c r="X198" s="29" t="str">
        <f t="shared" si="155"/>
        <v>156.5C_150.5P</v>
      </c>
      <c r="Y198" s="29" t="str">
        <f t="shared" si="155"/>
        <v>156.5C_151P</v>
      </c>
      <c r="Z198" s="29" t="str">
        <f t="shared" si="155"/>
        <v>156.5C_151.5P</v>
      </c>
      <c r="AA198" s="29" t="str">
        <f t="shared" si="155"/>
        <v>156.5C_152P</v>
      </c>
      <c r="AB198" s="29" t="str">
        <f t="shared" si="155"/>
        <v>156.5C_152.5P</v>
      </c>
      <c r="AC198" s="29" t="str">
        <f t="shared" si="155"/>
        <v>156.5C_153P</v>
      </c>
      <c r="AD198" s="29" t="str">
        <f t="shared" si="155"/>
        <v>156.5C_153.5P</v>
      </c>
      <c r="AE198" s="29" t="str">
        <f t="shared" si="155"/>
        <v>156.5C_154P</v>
      </c>
      <c r="AF198" s="29" t="str">
        <f t="shared" si="155"/>
        <v>156.5C_154.5P</v>
      </c>
      <c r="AG198" s="29" t="str">
        <f t="shared" si="155"/>
        <v>156.5C_155P</v>
      </c>
      <c r="AH198" s="29" t="str">
        <f t="shared" si="155"/>
        <v>156.5C_155.5P</v>
      </c>
      <c r="AI198" s="29" t="str">
        <f t="shared" si="155"/>
        <v>156.5C_156P</v>
      </c>
      <c r="AJ198" s="29" t="str">
        <f t="shared" si="155"/>
        <v>156.5C_156.5P</v>
      </c>
      <c r="AK198" s="29" t="str">
        <f t="shared" si="155"/>
        <v>156.5C_157P</v>
      </c>
      <c r="AL198" s="29" t="str">
        <f t="shared" si="155"/>
        <v>156.5C_157.5P</v>
      </c>
    </row>
    <row r="199" spans="1:38" ht="12.75" thickTop="1">
      <c r="A199" s="62"/>
      <c r="B199" s="62"/>
      <c r="C199" s="63"/>
      <c r="D199" s="63"/>
      <c r="E199" s="63"/>
      <c r="F199" s="63"/>
      <c r="G199" s="63"/>
      <c r="J199" s="38"/>
      <c r="K199" s="4">
        <f t="shared" si="133"/>
        <v>0</v>
      </c>
      <c r="M199" s="38"/>
      <c r="N199" s="49"/>
      <c r="O199" s="43"/>
      <c r="P199" s="53"/>
      <c r="Q199" s="64"/>
      <c r="R199" s="64"/>
      <c r="S199" s="64"/>
      <c r="T199" s="64"/>
      <c r="U199" s="64"/>
      <c r="V199" s="64"/>
      <c r="W199" s="64"/>
      <c r="X199" s="64"/>
      <c r="Y199" s="64"/>
      <c r="Z199" s="64"/>
      <c r="AA199" s="64"/>
      <c r="AB199" s="64"/>
      <c r="AC199" s="64"/>
      <c r="AD199" s="64"/>
      <c r="AE199" s="64"/>
      <c r="AF199" s="64"/>
      <c r="AG199" s="64"/>
      <c r="AH199" s="64"/>
      <c r="AI199" s="64"/>
      <c r="AJ199" s="64"/>
      <c r="AK199" s="64"/>
      <c r="AL199" s="64"/>
    </row>
    <row r="200" spans="1:38">
      <c r="A200" s="62">
        <f>_xll.BDP($I200, A$179)/-1</f>
        <v>-4.9792999999999997E-2</v>
      </c>
      <c r="B200" s="62">
        <f>_xll.BDP($I200, B$179)/100</f>
        <v>9.3806910000000007E-2</v>
      </c>
      <c r="C200" s="63">
        <f ca="1">B200*(MIN(SQRT(1/365),(SQRT(($B$174/365)))))</f>
        <v>4.9100780798267147E-3</v>
      </c>
      <c r="D200" s="63">
        <f>(H200-$B$164)/100</f>
        <v>2.4300000000002056E-2</v>
      </c>
      <c r="E200" s="63">
        <f ca="1">ABS(D200/$E$173)</f>
        <v>3.3414606783412095</v>
      </c>
      <c r="F200" s="63">
        <f ca="1">1-_xlfn.NORM.S.DIST(E200,1)</f>
        <v>4.1669410080247271E-4</v>
      </c>
      <c r="G200" s="63">
        <f>IF(D200&gt;0,0,0.25*$B$176)</f>
        <v>0</v>
      </c>
      <c r="H200" s="4">
        <v>156.0000000000002</v>
      </c>
      <c r="I200" t="str">
        <f>($I$179&amp;" "&amp;H200&amp;" COMB Curncy")</f>
        <v>3BV5C 156 COMB Curncy</v>
      </c>
      <c r="J200" s="38">
        <f ca="1">-1*CGBlackScholes("t","c",B$164,H200,$B$174/365,$B$166,$B$165,B200)/100</f>
        <v>2.8671337374514829E-4</v>
      </c>
      <c r="K200" s="4">
        <f ca="1">J200*P200</f>
        <v>0</v>
      </c>
      <c r="L200" s="56">
        <f ca="1">CGBlackScholes("g","c",B$164,H200,$B$174/365,$B$166,$B$165,B200)</f>
        <v>0.10087537012071693</v>
      </c>
      <c r="M200" s="38">
        <f ca="1">((M201+M202)/2)/$B$174</f>
        <v>2.6559039438231822E-5</v>
      </c>
      <c r="N200" s="49">
        <f ca="1">(MIN($J200,$M200) - $B$172*$B$173/10000*$F200)*10000</f>
        <v>0.21558710228602149</v>
      </c>
      <c r="O200" s="43" t="str">
        <f>ROUND((($M202*10000)+$B$173),0)&amp;" ticks"</f>
        <v>16 ticks</v>
      </c>
      <c r="P200" s="53">
        <f>SUM(Q199:AL199)</f>
        <v>0</v>
      </c>
      <c r="Q200" s="27" t="e">
        <f ca="1">(MIN(($J200+Q$174),($M200+Q$179))- $B$176 - (($B$172*$B$176)*MAX($F200,Q$170))-($G200+Q$171))* 10000</f>
        <v>#VALUE!</v>
      </c>
      <c r="R200" s="27" t="e">
        <f t="shared" ref="R200:AL200" ca="1" si="156">(MIN(($J200+R$174),($M200+R$179))- $B$176 - (($B$172*$B$176)*MAX($F200,R$170))-($G200+R$171))* 10000</f>
        <v>#VALUE!</v>
      </c>
      <c r="S200" s="27" t="e">
        <f t="shared" ca="1" si="156"/>
        <v>#VALUE!</v>
      </c>
      <c r="T200" s="27" t="e">
        <f t="shared" ca="1" si="156"/>
        <v>#VALUE!</v>
      </c>
      <c r="U200" s="27" t="e">
        <f t="shared" ca="1" si="156"/>
        <v>#VALUE!</v>
      </c>
      <c r="V200" s="27" t="e">
        <f t="shared" ca="1" si="156"/>
        <v>#VALUE!</v>
      </c>
      <c r="W200" s="27" t="e">
        <f t="shared" ca="1" si="156"/>
        <v>#VALUE!</v>
      </c>
      <c r="X200" s="27" t="e">
        <f t="shared" ca="1" si="156"/>
        <v>#VALUE!</v>
      </c>
      <c r="Y200" s="27">
        <f t="shared" ca="1" si="156"/>
        <v>-0.62413771824816566</v>
      </c>
      <c r="Z200" s="27">
        <f t="shared" ca="1" si="156"/>
        <v>-0.46613549988916025</v>
      </c>
      <c r="AA200" s="27">
        <f t="shared" ca="1" si="156"/>
        <v>-0.34097735932967121</v>
      </c>
      <c r="AB200" s="27">
        <f t="shared" ca="1" si="156"/>
        <v>-0.26310327884514145</v>
      </c>
      <c r="AC200" s="27">
        <f t="shared" ca="1" si="156"/>
        <v>-0.70730873304943975</v>
      </c>
      <c r="AD200" s="27">
        <f t="shared" ca="1" si="156"/>
        <v>-1.5846036609513681</v>
      </c>
      <c r="AE200" s="27">
        <f t="shared" ca="1" si="156"/>
        <v>-1.129615885101908</v>
      </c>
      <c r="AF200" s="27">
        <f t="shared" ca="1" si="156"/>
        <v>-0.58052768862145354</v>
      </c>
      <c r="AG200" s="27">
        <f t="shared" ca="1" si="156"/>
        <v>-0.39443056220242328</v>
      </c>
      <c r="AH200" s="27">
        <f t="shared" ca="1" si="156"/>
        <v>-0.61770836006050733</v>
      </c>
      <c r="AI200" s="27">
        <f t="shared" ca="1" si="156"/>
        <v>-0.80119798117153251</v>
      </c>
      <c r="AJ200" s="27">
        <f t="shared" ca="1" si="156"/>
        <v>-0.88972811263255824</v>
      </c>
      <c r="AK200" s="27">
        <f t="shared" ca="1" si="156"/>
        <v>-0.9782582440933304</v>
      </c>
      <c r="AL200" s="27">
        <f t="shared" ca="1" si="156"/>
        <v>-1.0225233098237179</v>
      </c>
    </row>
    <row r="201" spans="1:38">
      <c r="A201" s="62"/>
      <c r="B201" s="62"/>
      <c r="C201" s="63"/>
      <c r="D201" s="63"/>
      <c r="E201" s="63"/>
      <c r="F201" s="63"/>
      <c r="G201" s="63"/>
      <c r="J201" s="38"/>
      <c r="K201" s="4">
        <f t="shared" ref="K201:K203" si="157">J201*P201</f>
        <v>0</v>
      </c>
      <c r="L201" s="56" t="s">
        <v>60</v>
      </c>
      <c r="M201" s="38">
        <f>IF(D200&gt;0,_xll.BDP(I200,"BID")/100,(_xll.BDP(I200,"BID")/100)+D200)</f>
        <v>2.0000000000000001E-4</v>
      </c>
      <c r="N201" s="49"/>
      <c r="O201" s="43"/>
      <c r="P201" s="53"/>
      <c r="Q201" s="27">
        <f>Q$165+$A200</f>
        <v>-3.9772999999999996E-2</v>
      </c>
      <c r="R201" s="27">
        <f t="shared" ref="R201" si="158">R$165+$A200</f>
        <v>-3.9101999999999998E-2</v>
      </c>
      <c r="S201" s="27">
        <f t="shared" ref="S201" si="159">S$165+$A200</f>
        <v>-3.8311999999999999E-2</v>
      </c>
      <c r="T201" s="27">
        <f t="shared" ref="T201" si="160">T$165+$A200</f>
        <v>-3.7474999999999994E-2</v>
      </c>
      <c r="U201" s="27">
        <f t="shared" ref="U201" si="161">U$165+$A200</f>
        <v>-3.6572999999999994E-2</v>
      </c>
      <c r="V201" s="27">
        <f t="shared" ref="V201" si="162">V$165+$A200</f>
        <v>-3.5339999999999996E-2</v>
      </c>
      <c r="W201" s="27">
        <f t="shared" ref="W201" si="163">W$165+$A200</f>
        <v>-2.2827999999999998E-2</v>
      </c>
      <c r="X201" s="27">
        <f t="shared" ref="X201" si="164">X$165+$A200</f>
        <v>-1.9838999999999996E-2</v>
      </c>
      <c r="Y201" s="27">
        <f t="shared" ref="Y201" si="165">Y$165+$A200</f>
        <v>-2.9437999999999995E-2</v>
      </c>
      <c r="Z201" s="27">
        <f t="shared" ref="Z201" si="166">Z$165+$A200</f>
        <v>1.5530999999999996E-2</v>
      </c>
      <c r="AA201" s="27">
        <f t="shared" ref="AA201" si="167">AA$165+$A200</f>
        <v>6.259300000000001E-2</v>
      </c>
      <c r="AB201" s="27">
        <f t="shared" ref="AB201" si="168">AB$165+$A200</f>
        <v>0.15373799999999999</v>
      </c>
      <c r="AC201" s="27">
        <f t="shared" ref="AC201" si="169">AC$165+$A200</f>
        <v>0.27655200000000002</v>
      </c>
      <c r="AD201" s="27">
        <f t="shared" ref="AD201" si="170">AD$165+$A200</f>
        <v>0.429286</v>
      </c>
      <c r="AE201" s="27">
        <f t="shared" ref="AE201" si="171">AE$165+$A200</f>
        <v>0.57665200000000005</v>
      </c>
      <c r="AF201" s="27">
        <f t="shared" ref="AF201" si="172">AF$165+$A200</f>
        <v>0.708372</v>
      </c>
      <c r="AG201" s="27">
        <f t="shared" ref="AG201" si="173">AG$165+$A200</f>
        <v>0.80926600000000004</v>
      </c>
      <c r="AH201" s="27">
        <f t="shared" ref="AH201" si="174">AH$165+$A200</f>
        <v>0.85450800000000005</v>
      </c>
      <c r="AI201" s="27">
        <f t="shared" ref="AI201" si="175">AI$165+$A200</f>
        <v>0.88971200000000006</v>
      </c>
      <c r="AJ201" s="27">
        <f t="shared" ref="AJ201" si="176">AJ$165+$A200</f>
        <v>0.90730100000000002</v>
      </c>
      <c r="AK201" s="27">
        <f t="shared" ref="AK201" si="177">AK$165+$A200</f>
        <v>0.92147200000000007</v>
      </c>
      <c r="AL201" s="27">
        <f t="shared" ref="AL201" si="178">AL$165+$A200</f>
        <v>0.92916799999999999</v>
      </c>
    </row>
    <row r="202" spans="1:38" ht="12.75" thickBot="1">
      <c r="A202" s="62"/>
      <c r="B202" s="62"/>
      <c r="C202" s="63"/>
      <c r="D202" s="63"/>
      <c r="E202" s="63"/>
      <c r="F202" s="63"/>
      <c r="G202" s="63"/>
      <c r="J202" s="38"/>
      <c r="K202" s="4">
        <f t="shared" si="157"/>
        <v>0</v>
      </c>
      <c r="L202" s="56" t="s">
        <v>61</v>
      </c>
      <c r="M202" s="38">
        <f>IF(D200&gt;0,_xll.BDP(I200,"ASK")/100,(_xll.BDP(I200,"ASK")/100)+D200)</f>
        <v>4.0000000000000002E-4</v>
      </c>
      <c r="N202" s="49"/>
      <c r="O202" s="43"/>
      <c r="P202" s="53"/>
      <c r="Q202" s="29" t="str">
        <f>$H200&amp;$H$179&amp;"_"&amp;Q$172&amp;$P$172</f>
        <v>156C_147P</v>
      </c>
      <c r="R202" s="29" t="str">
        <f t="shared" ref="R202:AL202" si="179">$H200&amp;$H$179&amp;"_"&amp;R$172&amp;$P$172</f>
        <v>156C_147.5P</v>
      </c>
      <c r="S202" s="29" t="str">
        <f t="shared" si="179"/>
        <v>156C_148P</v>
      </c>
      <c r="T202" s="29" t="str">
        <f t="shared" si="179"/>
        <v>156C_148.5P</v>
      </c>
      <c r="U202" s="29" t="str">
        <f t="shared" si="179"/>
        <v>156C_149P</v>
      </c>
      <c r="V202" s="29" t="str">
        <f t="shared" si="179"/>
        <v>156C_149.5P</v>
      </c>
      <c r="W202" s="29" t="str">
        <f t="shared" si="179"/>
        <v>156C_150P</v>
      </c>
      <c r="X202" s="29" t="str">
        <f t="shared" si="179"/>
        <v>156C_150.5P</v>
      </c>
      <c r="Y202" s="29" t="str">
        <f t="shared" si="179"/>
        <v>156C_151P</v>
      </c>
      <c r="Z202" s="29" t="str">
        <f t="shared" si="179"/>
        <v>156C_151.5P</v>
      </c>
      <c r="AA202" s="29" t="str">
        <f t="shared" si="179"/>
        <v>156C_152P</v>
      </c>
      <c r="AB202" s="29" t="str">
        <f t="shared" si="179"/>
        <v>156C_152.5P</v>
      </c>
      <c r="AC202" s="29" t="str">
        <f t="shared" si="179"/>
        <v>156C_153P</v>
      </c>
      <c r="AD202" s="29" t="str">
        <f t="shared" si="179"/>
        <v>156C_153.5P</v>
      </c>
      <c r="AE202" s="29" t="str">
        <f t="shared" si="179"/>
        <v>156C_154P</v>
      </c>
      <c r="AF202" s="29" t="str">
        <f t="shared" si="179"/>
        <v>156C_154.5P</v>
      </c>
      <c r="AG202" s="29" t="str">
        <f t="shared" si="179"/>
        <v>156C_155P</v>
      </c>
      <c r="AH202" s="29" t="str">
        <f t="shared" si="179"/>
        <v>156C_155.5P</v>
      </c>
      <c r="AI202" s="29" t="str">
        <f t="shared" si="179"/>
        <v>156C_156P</v>
      </c>
      <c r="AJ202" s="29" t="str">
        <f t="shared" si="179"/>
        <v>156C_156.5P</v>
      </c>
      <c r="AK202" s="29" t="str">
        <f t="shared" si="179"/>
        <v>156C_157P</v>
      </c>
      <c r="AL202" s="29" t="str">
        <f t="shared" si="179"/>
        <v>156C_157.5P</v>
      </c>
    </row>
    <row r="203" spans="1:38" ht="12.75" thickTop="1">
      <c r="A203" s="62"/>
      <c r="B203" s="62"/>
      <c r="C203" s="63"/>
      <c r="D203" s="63"/>
      <c r="E203" s="63"/>
      <c r="F203" s="63"/>
      <c r="G203" s="63"/>
      <c r="J203" s="38"/>
      <c r="K203" s="4">
        <f t="shared" si="157"/>
        <v>0</v>
      </c>
      <c r="M203" s="38"/>
      <c r="N203" s="49"/>
      <c r="O203" s="43"/>
      <c r="P203" s="53"/>
      <c r="Q203" s="64"/>
      <c r="R203" s="64"/>
      <c r="S203" s="64"/>
      <c r="T203" s="64"/>
      <c r="U203" s="64"/>
      <c r="V203" s="64"/>
      <c r="W203" s="64"/>
      <c r="X203" s="64"/>
      <c r="Y203" s="64"/>
      <c r="Z203" s="64"/>
      <c r="AA203" s="64"/>
      <c r="AB203" s="64"/>
      <c r="AC203" s="64"/>
      <c r="AD203" s="64"/>
      <c r="AE203" s="64"/>
      <c r="AF203" s="64"/>
      <c r="AG203" s="64"/>
      <c r="AH203" s="64"/>
      <c r="AI203" s="64"/>
      <c r="AJ203" s="64"/>
      <c r="AK203" s="64"/>
      <c r="AL203" s="64"/>
    </row>
    <row r="204" spans="1:38">
      <c r="A204" s="62">
        <f>_xll.BDP($I204, A$179)/-1</f>
        <v>-9.0702000000000005E-2</v>
      </c>
      <c r="B204" s="62">
        <f>_xll.BDP($I204, B$179)/100</f>
        <v>9.276775000000001E-2</v>
      </c>
      <c r="C204" s="63">
        <f ca="1">B204*(MIN(SQRT(1/365),(SQRT(($B$174/365)))))</f>
        <v>4.8556859594868305E-3</v>
      </c>
      <c r="D204" s="63">
        <f>(H204-$B$164)/100</f>
        <v>1.9300000000002059E-2</v>
      </c>
      <c r="E204" s="63">
        <f ca="1">ABS(D204/$E$173)</f>
        <v>2.653917328888344</v>
      </c>
      <c r="F204" s="63">
        <f ca="1">1-_xlfn.NORM.S.DIST(E204,1)</f>
        <v>3.9781658578006418E-3</v>
      </c>
      <c r="G204" s="63">
        <f>IF(D204&gt;0,0,0.25*$B$176)</f>
        <v>0</v>
      </c>
      <c r="H204" s="4">
        <v>155.5000000000002</v>
      </c>
      <c r="I204" t="str">
        <f>($I$179&amp;" "&amp;H204&amp;" COMB Curncy")</f>
        <v>3BV5C 155.5 COMB Curncy</v>
      </c>
      <c r="J204" s="38">
        <f ca="1">-1*CGBlackScholes("t","c",B$164,H204,$B$174/365,$B$166,$B$165,B204)/100</f>
        <v>3.3208639181092294E-4</v>
      </c>
      <c r="K204" s="4">
        <f ca="1">J204*P204</f>
        <v>0</v>
      </c>
      <c r="L204" s="56">
        <f ca="1">CGBlackScholes("g","c",B$164,H204,$B$174/365,$B$166,$B$165,B204)</f>
        <v>0.11947649930400243</v>
      </c>
      <c r="M204" s="38">
        <f ca="1">((M205+M206)/2)/$B$174</f>
        <v>5.3118078876463644E-5</v>
      </c>
      <c r="N204" s="49">
        <f ca="1">(MIN($J204,$M204) - $B$172*$B$173/10000*$F204)*10000</f>
        <v>5.3800885828559408E-2</v>
      </c>
      <c r="O204" s="43" t="str">
        <f>ROUND((($M206*10000)+$B$173),0)&amp;" ticks"</f>
        <v>19 ticks</v>
      </c>
      <c r="P204" s="53">
        <f>SUM(Q203:AL203)</f>
        <v>0</v>
      </c>
      <c r="Q204" s="27" t="e">
        <f ca="1">(MIN(($J204+Q$174),($M204+Q$179))- $B$176 - (($B$172*$B$176)*MAX($F204,Q$170))-($G204+Q$171))* 10000</f>
        <v>#VALUE!</v>
      </c>
      <c r="R204" s="27" t="e">
        <f t="shared" ref="R204:AL204" ca="1" si="180">(MIN(($J204+R$174),($M204+R$179))- $B$176 - (($B$172*$B$176)*MAX($F204,R$170))-($G204+R$171))* 10000</f>
        <v>#VALUE!</v>
      </c>
      <c r="S204" s="27" t="e">
        <f t="shared" ca="1" si="180"/>
        <v>#VALUE!</v>
      </c>
      <c r="T204" s="27" t="e">
        <f t="shared" ca="1" si="180"/>
        <v>#VALUE!</v>
      </c>
      <c r="U204" s="27" t="e">
        <f t="shared" ca="1" si="180"/>
        <v>#VALUE!</v>
      </c>
      <c r="V204" s="27" t="e">
        <f t="shared" ca="1" si="180"/>
        <v>#VALUE!</v>
      </c>
      <c r="W204" s="27" t="e">
        <f t="shared" ca="1" si="180"/>
        <v>#VALUE!</v>
      </c>
      <c r="X204" s="27" t="e">
        <f t="shared" ca="1" si="180"/>
        <v>#VALUE!</v>
      </c>
      <c r="Y204" s="27">
        <f t="shared" ca="1" si="180"/>
        <v>-0.39638303140675279</v>
      </c>
      <c r="Z204" s="27">
        <f t="shared" ca="1" si="180"/>
        <v>-0.21932276848520721</v>
      </c>
      <c r="AA204" s="27">
        <f t="shared" ca="1" si="180"/>
        <v>-7.5386964947353044E-2</v>
      </c>
      <c r="AB204" s="27">
        <f t="shared" ca="1" si="180"/>
        <v>2.4871155371769581E-3</v>
      </c>
      <c r="AC204" s="27">
        <f t="shared" ca="1" si="180"/>
        <v>-0.44171833866712162</v>
      </c>
      <c r="AD204" s="27">
        <f t="shared" ca="1" si="180"/>
        <v>-1.3190132665690499</v>
      </c>
      <c r="AE204" s="27">
        <f t="shared" ca="1" si="180"/>
        <v>-0.86402549071958978</v>
      </c>
      <c r="AF204" s="27">
        <f t="shared" ca="1" si="180"/>
        <v>-0.31493729423913513</v>
      </c>
      <c r="AG204" s="27">
        <f t="shared" ca="1" si="180"/>
        <v>-0.12884016782010516</v>
      </c>
      <c r="AH204" s="27">
        <f t="shared" ca="1" si="180"/>
        <v>-0.35211796567818915</v>
      </c>
      <c r="AI204" s="27">
        <f t="shared" ca="1" si="180"/>
        <v>-0.57344329433011965</v>
      </c>
      <c r="AJ204" s="27">
        <f t="shared" ca="1" si="180"/>
        <v>-0.66197342579114515</v>
      </c>
      <c r="AK204" s="27">
        <f t="shared" ca="1" si="180"/>
        <v>-0.75050355725191742</v>
      </c>
      <c r="AL204" s="27">
        <f t="shared" ca="1" si="180"/>
        <v>-0.79476862298230511</v>
      </c>
    </row>
    <row r="205" spans="1:38">
      <c r="A205" s="62"/>
      <c r="B205" s="62"/>
      <c r="C205" s="63"/>
      <c r="D205" s="63"/>
      <c r="E205" s="63"/>
      <c r="F205" s="63"/>
      <c r="G205" s="63"/>
      <c r="J205" s="38"/>
      <c r="K205" s="4">
        <f t="shared" ref="K205:K207" si="181">J205*P205</f>
        <v>0</v>
      </c>
      <c r="L205" s="56" t="s">
        <v>60</v>
      </c>
      <c r="M205" s="38">
        <f>IF(D204&gt;0,_xll.BDP(I204,"BID")/100,(_xll.BDP(I204,"BID")/100)+D204)</f>
        <v>5.0000000000000001E-4</v>
      </c>
      <c r="N205" s="49"/>
      <c r="O205" s="43"/>
      <c r="P205" s="53"/>
      <c r="Q205" s="27">
        <f>Q$165+$A204</f>
        <v>-8.0682000000000004E-2</v>
      </c>
      <c r="R205" s="27">
        <f t="shared" ref="R205" si="182">R$165+$A204</f>
        <v>-8.0010999999999999E-2</v>
      </c>
      <c r="S205" s="27">
        <f t="shared" ref="S205" si="183">S$165+$A204</f>
        <v>-7.9221E-2</v>
      </c>
      <c r="T205" s="27">
        <f t="shared" ref="T205" si="184">T$165+$A204</f>
        <v>-7.8384000000000009E-2</v>
      </c>
      <c r="U205" s="27">
        <f t="shared" ref="U205" si="185">U$165+$A204</f>
        <v>-7.7482000000000009E-2</v>
      </c>
      <c r="V205" s="27">
        <f t="shared" ref="V205" si="186">V$165+$A204</f>
        <v>-7.6249000000000011E-2</v>
      </c>
      <c r="W205" s="27">
        <f t="shared" ref="W205" si="187">W$165+$A204</f>
        <v>-6.3737000000000002E-2</v>
      </c>
      <c r="X205" s="27">
        <f t="shared" ref="X205" si="188">X$165+$A204</f>
        <v>-6.0748000000000003E-2</v>
      </c>
      <c r="Y205" s="27">
        <f t="shared" ref="Y205" si="189">Y$165+$A204</f>
        <v>-7.0347000000000007E-2</v>
      </c>
      <c r="Z205" s="27">
        <f t="shared" ref="Z205" si="190">Z$165+$A204</f>
        <v>-2.5378000000000012E-2</v>
      </c>
      <c r="AA205" s="27">
        <f t="shared" ref="AA205" si="191">AA$165+$A204</f>
        <v>2.1683999999999995E-2</v>
      </c>
      <c r="AB205" s="27">
        <f t="shared" ref="AB205" si="192">AB$165+$A204</f>
        <v>0.11282899999999998</v>
      </c>
      <c r="AC205" s="27">
        <f t="shared" ref="AC205" si="193">AC$165+$A204</f>
        <v>0.23564299999999999</v>
      </c>
      <c r="AD205" s="27">
        <f t="shared" ref="AD205" si="194">AD$165+$A204</f>
        <v>0.38837699999999997</v>
      </c>
      <c r="AE205" s="27">
        <f t="shared" ref="AE205" si="195">AE$165+$A204</f>
        <v>0.53574300000000008</v>
      </c>
      <c r="AF205" s="27">
        <f t="shared" ref="AF205" si="196">AF$165+$A204</f>
        <v>0.66746299999999992</v>
      </c>
      <c r="AG205" s="27">
        <f t="shared" ref="AG205" si="197">AG$165+$A204</f>
        <v>0.76835699999999996</v>
      </c>
      <c r="AH205" s="27">
        <f t="shared" ref="AH205" si="198">AH$165+$A204</f>
        <v>0.81359899999999996</v>
      </c>
      <c r="AI205" s="27">
        <f t="shared" ref="AI205" si="199">AI$165+$A204</f>
        <v>0.84880299999999997</v>
      </c>
      <c r="AJ205" s="27">
        <f t="shared" ref="AJ205" si="200">AJ$165+$A204</f>
        <v>0.86639200000000005</v>
      </c>
      <c r="AK205" s="27">
        <f t="shared" ref="AK205" si="201">AK$165+$A204</f>
        <v>0.88056299999999998</v>
      </c>
      <c r="AL205" s="27">
        <f t="shared" ref="AL205" si="202">AL$165+$A204</f>
        <v>0.88825899999999991</v>
      </c>
    </row>
    <row r="206" spans="1:38" ht="12.75" thickBot="1">
      <c r="A206" s="62"/>
      <c r="B206" s="62"/>
      <c r="C206" s="63"/>
      <c r="D206" s="63"/>
      <c r="E206" s="63"/>
      <c r="F206" s="63"/>
      <c r="G206" s="63"/>
      <c r="J206" s="38"/>
      <c r="K206" s="4">
        <f t="shared" si="181"/>
        <v>0</v>
      </c>
      <c r="L206" s="56" t="s">
        <v>61</v>
      </c>
      <c r="M206" s="38">
        <f>IF(D204&gt;0,_xll.BDP(I204,"ASK")/100,(_xll.BDP(I204,"ASK")/100)+D204)</f>
        <v>7.000000000000001E-4</v>
      </c>
      <c r="N206" s="49"/>
      <c r="O206" s="43"/>
      <c r="P206" s="53"/>
      <c r="Q206" s="29" t="str">
        <f>$H204&amp;$H$179&amp;"_"&amp;Q$172&amp;$P$172</f>
        <v>155.5C_147P</v>
      </c>
      <c r="R206" s="29" t="str">
        <f t="shared" ref="R206:AL206" si="203">$H204&amp;$H$179&amp;"_"&amp;R$172&amp;$P$172</f>
        <v>155.5C_147.5P</v>
      </c>
      <c r="S206" s="29" t="str">
        <f t="shared" si="203"/>
        <v>155.5C_148P</v>
      </c>
      <c r="T206" s="29" t="str">
        <f t="shared" si="203"/>
        <v>155.5C_148.5P</v>
      </c>
      <c r="U206" s="29" t="str">
        <f t="shared" si="203"/>
        <v>155.5C_149P</v>
      </c>
      <c r="V206" s="29" t="str">
        <f t="shared" si="203"/>
        <v>155.5C_149.5P</v>
      </c>
      <c r="W206" s="29" t="str">
        <f t="shared" si="203"/>
        <v>155.5C_150P</v>
      </c>
      <c r="X206" s="29" t="str">
        <f t="shared" si="203"/>
        <v>155.5C_150.5P</v>
      </c>
      <c r="Y206" s="29" t="str">
        <f t="shared" si="203"/>
        <v>155.5C_151P</v>
      </c>
      <c r="Z206" s="29" t="str">
        <f t="shared" si="203"/>
        <v>155.5C_151.5P</v>
      </c>
      <c r="AA206" s="29" t="str">
        <f t="shared" si="203"/>
        <v>155.5C_152P</v>
      </c>
      <c r="AB206" s="29" t="str">
        <f t="shared" si="203"/>
        <v>155.5C_152.5P</v>
      </c>
      <c r="AC206" s="29" t="str">
        <f t="shared" si="203"/>
        <v>155.5C_153P</v>
      </c>
      <c r="AD206" s="29" t="str">
        <f t="shared" si="203"/>
        <v>155.5C_153.5P</v>
      </c>
      <c r="AE206" s="29" t="str">
        <f t="shared" si="203"/>
        <v>155.5C_154P</v>
      </c>
      <c r="AF206" s="29" t="str">
        <f t="shared" si="203"/>
        <v>155.5C_154.5P</v>
      </c>
      <c r="AG206" s="29" t="str">
        <f t="shared" si="203"/>
        <v>155.5C_155P</v>
      </c>
      <c r="AH206" s="29" t="str">
        <f t="shared" si="203"/>
        <v>155.5C_155.5P</v>
      </c>
      <c r="AI206" s="29" t="str">
        <f t="shared" si="203"/>
        <v>155.5C_156P</v>
      </c>
      <c r="AJ206" s="29" t="str">
        <f t="shared" si="203"/>
        <v>155.5C_156.5P</v>
      </c>
      <c r="AK206" s="29" t="str">
        <f t="shared" si="203"/>
        <v>155.5C_157P</v>
      </c>
      <c r="AL206" s="29" t="str">
        <f t="shared" si="203"/>
        <v>155.5C_157.5P</v>
      </c>
    </row>
    <row r="207" spans="1:38" ht="12.75" thickTop="1">
      <c r="A207" s="62"/>
      <c r="B207" s="62"/>
      <c r="C207" s="63"/>
      <c r="D207" s="63"/>
      <c r="E207" s="63"/>
      <c r="F207" s="63"/>
      <c r="G207" s="63"/>
      <c r="J207" s="38"/>
      <c r="K207" s="4">
        <f t="shared" si="181"/>
        <v>0</v>
      </c>
      <c r="M207" s="38"/>
      <c r="N207" s="49"/>
      <c r="O207" s="43"/>
      <c r="P207" s="53"/>
      <c r="Q207" s="64"/>
      <c r="R207" s="64"/>
      <c r="S207" s="64"/>
      <c r="T207" s="64"/>
      <c r="U207" s="64"/>
      <c r="V207" s="64"/>
      <c r="W207" s="64"/>
      <c r="X207" s="64"/>
      <c r="Y207" s="64"/>
      <c r="Z207" s="64"/>
      <c r="AA207" s="64"/>
      <c r="AB207" s="64"/>
      <c r="AC207" s="64"/>
      <c r="AD207" s="64"/>
      <c r="AE207" s="64"/>
      <c r="AF207" s="64"/>
      <c r="AG207" s="64"/>
      <c r="AH207" s="64"/>
      <c r="AI207" s="64"/>
      <c r="AJ207" s="64"/>
      <c r="AK207" s="64"/>
      <c r="AL207" s="64"/>
    </row>
    <row r="208" spans="1:38">
      <c r="A208" s="62">
        <f>_xll.BDP($I208, A$179)/-1</f>
        <v>-0.143846</v>
      </c>
      <c r="B208" s="62">
        <f>_xll.BDP($I208, B$179)/100</f>
        <v>8.832537E-2</v>
      </c>
      <c r="C208" s="63">
        <f ca="1">B208*(MIN(SQRT(1/365),(SQRT(($B$174/365)))))</f>
        <v>4.6231611629631983E-3</v>
      </c>
      <c r="D208" s="63">
        <f>(H208-$B$164)/100</f>
        <v>1.4300000000001773E-2</v>
      </c>
      <c r="E208" s="63">
        <f ca="1">ABS(D208/$E$173)</f>
        <v>1.9663739794354393</v>
      </c>
      <c r="F208" s="63">
        <f ca="1">1-_xlfn.NORM.S.DIST(E208,1)</f>
        <v>2.462771343991732E-2</v>
      </c>
      <c r="G208" s="63">
        <f>IF(D208&gt;0,0,0.25*$B$176)</f>
        <v>0</v>
      </c>
      <c r="H208" s="4">
        <v>155.00000000000017</v>
      </c>
      <c r="I208" t="str">
        <f>($I$179&amp;" "&amp;H208&amp;" COMB Curncy")</f>
        <v>3BV5C 155 COMB Curncy</v>
      </c>
      <c r="J208" s="38">
        <f ca="1">-1*CGBlackScholes("t","c",B$164,H208,$B$174/365,$B$166,$B$165,B208)/100</f>
        <v>3.5410484862904724E-4</v>
      </c>
      <c r="K208" s="4">
        <f ca="1">J208*P208</f>
        <v>0</v>
      </c>
      <c r="L208" s="56">
        <f ca="1">CGBlackScholes("g","c",B$164,H208,$B$174/365,$B$166,$B$165,B208)</f>
        <v>0.14054247829617653</v>
      </c>
      <c r="M208" s="38">
        <f ca="1">((M209+M210)/2)/$B$174</f>
        <v>8.8530131460772736E-5</v>
      </c>
      <c r="N208" s="49">
        <f ca="1">(MIN($J208,$M208) - $B$172*$B$173/10000*$F208)*10000</f>
        <v>-2.0700242981823513</v>
      </c>
      <c r="O208" s="43" t="str">
        <f>ROUND((($M210*10000)+$B$173),0)&amp;" ticks"</f>
        <v>23 ticks</v>
      </c>
      <c r="P208" s="53">
        <f>SUM(Q207:AL207)</f>
        <v>0</v>
      </c>
      <c r="Q208" s="27" t="e">
        <f ca="1">(MIN(($J208+Q$174),($M208+Q$179))- $B$176 - (($B$172*$B$176)*MAX($F208,Q$170))-($G208+Q$171))* 10000</f>
        <v>#VALUE!</v>
      </c>
      <c r="R208" s="27" t="e">
        <f t="shared" ref="R208:AL208" ca="1" si="204">(MIN(($J208+R$174),($M208+R$179))- $B$176 - (($B$172*$B$176)*MAX($F208,R$170))-($G208+R$171))* 10000</f>
        <v>#VALUE!</v>
      </c>
      <c r="S208" s="27" t="e">
        <f t="shared" ca="1" si="204"/>
        <v>#VALUE!</v>
      </c>
      <c r="T208" s="27" t="e">
        <f t="shared" ca="1" si="204"/>
        <v>#VALUE!</v>
      </c>
      <c r="U208" s="27" t="e">
        <f t="shared" ca="1" si="204"/>
        <v>#VALUE!</v>
      </c>
      <c r="V208" s="27" t="e">
        <f t="shared" ca="1" si="204"/>
        <v>#VALUE!</v>
      </c>
      <c r="W208" s="27" t="e">
        <f t="shared" ca="1" si="204"/>
        <v>#VALUE!</v>
      </c>
      <c r="X208" s="27" t="e">
        <f t="shared" ca="1" si="204"/>
        <v>#VALUE!</v>
      </c>
      <c r="Y208" s="27">
        <f t="shared" ca="1" si="204"/>
        <v>-0.26163536500969425</v>
      </c>
      <c r="Z208" s="27">
        <f t="shared" ca="1" si="204"/>
        <v>-8.4575102088148738E-2</v>
      </c>
      <c r="AA208" s="27">
        <f t="shared" ca="1" si="204"/>
        <v>0.18101529229416941</v>
      </c>
      <c r="AB208" s="27">
        <f t="shared" ca="1" si="204"/>
        <v>0.35660764138026774</v>
      </c>
      <c r="AC208" s="27">
        <f t="shared" ca="1" si="204"/>
        <v>-8.7597812824030605E-2</v>
      </c>
      <c r="AD208" s="27">
        <f t="shared" ca="1" si="204"/>
        <v>-0.96489274072595843</v>
      </c>
      <c r="AE208" s="27">
        <f t="shared" ca="1" si="204"/>
        <v>-0.50990496487649872</v>
      </c>
      <c r="AF208" s="27">
        <f t="shared" ca="1" si="204"/>
        <v>3.9183231603955468E-2</v>
      </c>
      <c r="AG208" s="27">
        <f t="shared" ca="1" si="204"/>
        <v>0.22528035802298593</v>
      </c>
      <c r="AH208" s="27">
        <f t="shared" ca="1" si="204"/>
        <v>-0.21737029928113066</v>
      </c>
      <c r="AI208" s="27">
        <f t="shared" ca="1" si="204"/>
        <v>-0.43869562793306127</v>
      </c>
      <c r="AJ208" s="27">
        <f t="shared" ca="1" si="204"/>
        <v>-0.52722575939408678</v>
      </c>
      <c r="AK208" s="27">
        <f t="shared" ca="1" si="204"/>
        <v>-0.61575589085485893</v>
      </c>
      <c r="AL208" s="27">
        <f t="shared" ca="1" si="204"/>
        <v>-0.66002095658524662</v>
      </c>
    </row>
    <row r="209" spans="1:38">
      <c r="A209" s="62"/>
      <c r="B209" s="62"/>
      <c r="C209" s="63"/>
      <c r="D209" s="63"/>
      <c r="E209" s="63"/>
      <c r="F209" s="63"/>
      <c r="G209" s="63"/>
      <c r="J209" s="38"/>
      <c r="K209" s="4">
        <f t="shared" ref="K209:K211" si="205">J209*P209</f>
        <v>0</v>
      </c>
      <c r="L209" s="56" t="s">
        <v>60</v>
      </c>
      <c r="M209" s="38">
        <f>IF(D208&gt;0,_xll.BDP(I208,"BID")/100,(_xll.BDP(I208,"BID")/100)+D208)</f>
        <v>8.9999999999999998E-4</v>
      </c>
      <c r="N209" s="49"/>
      <c r="O209" s="43"/>
      <c r="P209" s="53"/>
      <c r="Q209" s="27">
        <f>Q$165+$A208</f>
        <v>-0.133826</v>
      </c>
      <c r="R209" s="27">
        <f t="shared" ref="R209" si="206">R$165+$A208</f>
        <v>-0.133155</v>
      </c>
      <c r="S209" s="27">
        <f t="shared" ref="S209" si="207">S$165+$A208</f>
        <v>-0.13236500000000001</v>
      </c>
      <c r="T209" s="27">
        <f t="shared" ref="T209" si="208">T$165+$A208</f>
        <v>-0.13152800000000001</v>
      </c>
      <c r="U209" s="27">
        <f t="shared" ref="U209" si="209">U$165+$A208</f>
        <v>-0.13062599999999999</v>
      </c>
      <c r="V209" s="27">
        <f t="shared" ref="V209" si="210">V$165+$A208</f>
        <v>-0.12939300000000001</v>
      </c>
      <c r="W209" s="27">
        <f t="shared" ref="W209" si="211">W$165+$A208</f>
        <v>-0.116881</v>
      </c>
      <c r="X209" s="27">
        <f t="shared" ref="X209" si="212">X$165+$A208</f>
        <v>-0.11389199999999999</v>
      </c>
      <c r="Y209" s="27">
        <f t="shared" ref="Y209" si="213">Y$165+$A208</f>
        <v>-0.123491</v>
      </c>
      <c r="Z209" s="27">
        <f t="shared" ref="Z209" si="214">Z$165+$A208</f>
        <v>-7.8522000000000008E-2</v>
      </c>
      <c r="AA209" s="27">
        <f t="shared" ref="AA209" si="215">AA$165+$A208</f>
        <v>-3.1460000000000002E-2</v>
      </c>
      <c r="AB209" s="27">
        <f t="shared" ref="AB209" si="216">AB$165+$A208</f>
        <v>5.9684999999999988E-2</v>
      </c>
      <c r="AC209" s="27">
        <f t="shared" ref="AC209" si="217">AC$165+$A208</f>
        <v>0.18249899999999999</v>
      </c>
      <c r="AD209" s="27">
        <f t="shared" ref="AD209" si="218">AD$165+$A208</f>
        <v>0.335233</v>
      </c>
      <c r="AE209" s="27">
        <f t="shared" ref="AE209" si="219">AE$165+$A208</f>
        <v>0.482599</v>
      </c>
      <c r="AF209" s="27">
        <f t="shared" ref="AF209" si="220">AF$165+$A208</f>
        <v>0.61431899999999995</v>
      </c>
      <c r="AG209" s="27">
        <f t="shared" ref="AG209" si="221">AG$165+$A208</f>
        <v>0.71521299999999999</v>
      </c>
      <c r="AH209" s="27">
        <f t="shared" ref="AH209" si="222">AH$165+$A208</f>
        <v>0.76045499999999999</v>
      </c>
      <c r="AI209" s="27">
        <f t="shared" ref="AI209" si="223">AI$165+$A208</f>
        <v>0.79565900000000001</v>
      </c>
      <c r="AJ209" s="27">
        <f t="shared" ref="AJ209" si="224">AJ$165+$A208</f>
        <v>0.81324799999999997</v>
      </c>
      <c r="AK209" s="27">
        <f t="shared" ref="AK209" si="225">AK$165+$A208</f>
        <v>0.82741900000000002</v>
      </c>
      <c r="AL209" s="27">
        <f t="shared" ref="AL209" si="226">AL$165+$A208</f>
        <v>0.83511499999999994</v>
      </c>
    </row>
    <row r="210" spans="1:38" ht="12.75" thickBot="1">
      <c r="A210" s="62"/>
      <c r="B210" s="62"/>
      <c r="C210" s="63"/>
      <c r="D210" s="63"/>
      <c r="E210" s="63"/>
      <c r="F210" s="63"/>
      <c r="G210" s="63"/>
      <c r="J210" s="38"/>
      <c r="K210" s="4">
        <f t="shared" si="205"/>
        <v>0</v>
      </c>
      <c r="L210" s="56" t="s">
        <v>61</v>
      </c>
      <c r="M210" s="38">
        <f>IF(D208&gt;0,_xll.BDP(I208,"ASK")/100,(_xll.BDP(I208,"ASK")/100)+D208)</f>
        <v>1.1000000000000001E-3</v>
      </c>
      <c r="N210" s="49"/>
      <c r="O210" s="43"/>
      <c r="P210" s="53"/>
      <c r="Q210" s="29" t="str">
        <f>$H208&amp;$H$179&amp;"_"&amp;Q$172&amp;$P$172</f>
        <v>155C_147P</v>
      </c>
      <c r="R210" s="29" t="str">
        <f t="shared" ref="R210:AL210" si="227">$H208&amp;$H$179&amp;"_"&amp;R$172&amp;$P$172</f>
        <v>155C_147.5P</v>
      </c>
      <c r="S210" s="29" t="str">
        <f t="shared" si="227"/>
        <v>155C_148P</v>
      </c>
      <c r="T210" s="29" t="str">
        <f t="shared" si="227"/>
        <v>155C_148.5P</v>
      </c>
      <c r="U210" s="29" t="str">
        <f t="shared" si="227"/>
        <v>155C_149P</v>
      </c>
      <c r="V210" s="29" t="str">
        <f t="shared" si="227"/>
        <v>155C_149.5P</v>
      </c>
      <c r="W210" s="29" t="str">
        <f t="shared" si="227"/>
        <v>155C_150P</v>
      </c>
      <c r="X210" s="29" t="str">
        <f t="shared" si="227"/>
        <v>155C_150.5P</v>
      </c>
      <c r="Y210" s="29" t="str">
        <f t="shared" si="227"/>
        <v>155C_151P</v>
      </c>
      <c r="Z210" s="29" t="str">
        <f t="shared" si="227"/>
        <v>155C_151.5P</v>
      </c>
      <c r="AA210" s="29" t="str">
        <f t="shared" si="227"/>
        <v>155C_152P</v>
      </c>
      <c r="AB210" s="29" t="str">
        <f t="shared" si="227"/>
        <v>155C_152.5P</v>
      </c>
      <c r="AC210" s="29" t="str">
        <f t="shared" si="227"/>
        <v>155C_153P</v>
      </c>
      <c r="AD210" s="29" t="str">
        <f t="shared" si="227"/>
        <v>155C_153.5P</v>
      </c>
      <c r="AE210" s="29" t="str">
        <f t="shared" si="227"/>
        <v>155C_154P</v>
      </c>
      <c r="AF210" s="29" t="str">
        <f t="shared" si="227"/>
        <v>155C_154.5P</v>
      </c>
      <c r="AG210" s="29" t="str">
        <f t="shared" si="227"/>
        <v>155C_155P</v>
      </c>
      <c r="AH210" s="29" t="str">
        <f t="shared" si="227"/>
        <v>155C_155.5P</v>
      </c>
      <c r="AI210" s="29" t="str">
        <f t="shared" si="227"/>
        <v>155C_156P</v>
      </c>
      <c r="AJ210" s="29" t="str">
        <f t="shared" si="227"/>
        <v>155C_156.5P</v>
      </c>
      <c r="AK210" s="29" t="str">
        <f t="shared" si="227"/>
        <v>155C_157P</v>
      </c>
      <c r="AL210" s="29" t="str">
        <f t="shared" si="227"/>
        <v>155C_157.5P</v>
      </c>
    </row>
    <row r="211" spans="1:38" ht="12.75" thickTop="1">
      <c r="A211" s="62"/>
      <c r="B211" s="62"/>
      <c r="C211" s="63"/>
      <c r="D211" s="63"/>
      <c r="E211" s="63"/>
      <c r="F211" s="63"/>
      <c r="G211" s="63"/>
      <c r="J211" s="38"/>
      <c r="K211" s="4">
        <f t="shared" si="205"/>
        <v>0</v>
      </c>
      <c r="M211" s="38"/>
      <c r="N211" s="49"/>
      <c r="O211" s="43"/>
      <c r="P211" s="53"/>
      <c r="Q211" s="64"/>
      <c r="R211" s="64"/>
      <c r="S211" s="64"/>
      <c r="T211" s="64"/>
      <c r="U211" s="64"/>
      <c r="V211" s="64"/>
      <c r="W211" s="64"/>
      <c r="X211" s="64"/>
      <c r="Y211" s="64"/>
      <c r="Z211" s="64"/>
      <c r="AA211" s="64"/>
      <c r="AB211" s="64"/>
      <c r="AC211" s="64"/>
      <c r="AD211" s="64"/>
      <c r="AE211" s="64"/>
      <c r="AF211" s="64"/>
      <c r="AG211" s="64"/>
      <c r="AH211" s="64"/>
      <c r="AI211" s="64"/>
      <c r="AJ211" s="64"/>
      <c r="AK211" s="64"/>
      <c r="AL211" s="64"/>
    </row>
    <row r="212" spans="1:38">
      <c r="A212" s="62">
        <f>_xll.BDP($I212, A$179)/-1</f>
        <v>-0.241787</v>
      </c>
      <c r="B212" s="62">
        <f>_xll.BDP($I212, B$179)/100</f>
        <v>8.4395190000000009E-2</v>
      </c>
      <c r="C212" s="63">
        <f ca="1">B212*(MIN(SQRT(1/365),(SQRT(($B$174/365)))))</f>
        <v>4.4174461397546378E-3</v>
      </c>
      <c r="D212" s="63">
        <f>(H212-$B$164)/100</f>
        <v>9.3000000000017739E-3</v>
      </c>
      <c r="E212" s="63">
        <f ca="1">ABS(D212/$E$173)</f>
        <v>1.2788306299825738</v>
      </c>
      <c r="F212" s="63">
        <f ca="1">1-_xlfn.NORM.S.DIST(E212,1)</f>
        <v>0.10047835259033733</v>
      </c>
      <c r="G212" s="63">
        <f>IF(D212&gt;0,0,0.25*$B$176)</f>
        <v>0</v>
      </c>
      <c r="H212" s="4">
        <v>154.50000000000017</v>
      </c>
      <c r="I212" t="str">
        <f>($I$179&amp;" "&amp;H212&amp;" COMB Curncy")</f>
        <v>3BV5C 154.5 COMB Curncy</v>
      </c>
      <c r="J212" s="38">
        <f ca="1">-1*CGBlackScholes("t","c",B$164,H212,$B$174/365,$B$166,$B$165,B212)/100</f>
        <v>3.7152626665089663E-4</v>
      </c>
      <c r="K212" s="4">
        <f ca="1">J212*P212</f>
        <v>0</v>
      </c>
      <c r="L212" s="56">
        <f ca="1">CGBlackScholes("g","c",B$164,H212,$B$174/365,$B$166,$B$165,B212)</f>
        <v>0.16152183285602345</v>
      </c>
      <c r="M212" s="38">
        <f ca="1">((M213+M214)/2)/$B$174</f>
        <v>1.5935423662939092E-4</v>
      </c>
      <c r="N212" s="49">
        <f ca="1">(MIN($J212,$M212) - $B$172*$B$173/10000*$F212)*10000</f>
        <v>-10.46385994454657</v>
      </c>
      <c r="O212" s="43" t="str">
        <f>ROUND((($M214*10000)+$B$173),0)&amp;" ticks"</f>
        <v>31 ticks</v>
      </c>
      <c r="P212" s="53">
        <f>SUM(Q211:AL211)</f>
        <v>0</v>
      </c>
      <c r="Q212" s="27" t="e">
        <f ca="1">(MIN(($J212+Q$174),($M212+Q$179))- $B$176 - (($B$172*$B$176)*MAX($F212,Q$170))-($G212+Q$171))* 10000</f>
        <v>#VALUE!</v>
      </c>
      <c r="R212" s="27" t="e">
        <f t="shared" ref="R212:AL212" ca="1" si="228">(MIN(($J212+R$174),($M212+R$179))- $B$176 - (($B$172*$B$176)*MAX($F212,R$170))-($G212+R$171))* 10000</f>
        <v>#VALUE!</v>
      </c>
      <c r="S212" s="27" t="e">
        <f t="shared" ca="1" si="228"/>
        <v>#VALUE!</v>
      </c>
      <c r="T212" s="27" t="e">
        <f t="shared" ca="1" si="228"/>
        <v>#VALUE!</v>
      </c>
      <c r="U212" s="27" t="e">
        <f t="shared" ca="1" si="228"/>
        <v>#VALUE!</v>
      </c>
      <c r="V212" s="27" t="e">
        <f t="shared" ca="1" si="228"/>
        <v>#VALUE!</v>
      </c>
      <c r="W212" s="27" t="e">
        <f t="shared" ca="1" si="228"/>
        <v>#VALUE!</v>
      </c>
      <c r="X212" s="27" t="e">
        <f t="shared" ca="1" si="228"/>
        <v>#VALUE!</v>
      </c>
      <c r="Y212" s="27">
        <f t="shared" ca="1" si="228"/>
        <v>-0.35920235996795058</v>
      </c>
      <c r="Z212" s="27">
        <f t="shared" ca="1" si="228"/>
        <v>-0.18214209704640533</v>
      </c>
      <c r="AA212" s="27">
        <f t="shared" ca="1" si="228"/>
        <v>8.344829733591283E-2</v>
      </c>
      <c r="AB212" s="27">
        <f t="shared" ca="1" si="228"/>
        <v>0.74742428329170862</v>
      </c>
      <c r="AC212" s="27">
        <f t="shared" ca="1" si="228"/>
        <v>0.620643238862151</v>
      </c>
      <c r="AD212" s="27">
        <f t="shared" ca="1" si="228"/>
        <v>-0.25665168903977736</v>
      </c>
      <c r="AE212" s="27">
        <f t="shared" ca="1" si="228"/>
        <v>0.19833608680968334</v>
      </c>
      <c r="AF212" s="27">
        <f t="shared" ca="1" si="228"/>
        <v>0.74742428329013766</v>
      </c>
      <c r="AG212" s="27">
        <f t="shared" ca="1" si="228"/>
        <v>0.12771336306472944</v>
      </c>
      <c r="AH212" s="27">
        <f t="shared" ca="1" si="228"/>
        <v>-0.31493729423938693</v>
      </c>
      <c r="AI212" s="27">
        <f t="shared" ca="1" si="228"/>
        <v>-0.53626262289131754</v>
      </c>
      <c r="AJ212" s="27">
        <f t="shared" ca="1" si="228"/>
        <v>-0.62479275435234305</v>
      </c>
      <c r="AK212" s="27">
        <f t="shared" ca="1" si="228"/>
        <v>-0.71332288581311543</v>
      </c>
      <c r="AL212" s="27">
        <f t="shared" ca="1" si="228"/>
        <v>-0.757587951543503</v>
      </c>
    </row>
    <row r="213" spans="1:38">
      <c r="A213" s="62"/>
      <c r="B213" s="62"/>
      <c r="C213" s="63"/>
      <c r="D213" s="63"/>
      <c r="E213" s="63"/>
      <c r="F213" s="63"/>
      <c r="G213" s="63"/>
      <c r="J213" s="38"/>
      <c r="K213" s="4">
        <f t="shared" ref="K213:K215" si="229">J213*P213</f>
        <v>0</v>
      </c>
      <c r="L213" s="56" t="s">
        <v>60</v>
      </c>
      <c r="M213" s="38">
        <f>IF(D212&gt;0,_xll.BDP(I212,"BID")/100,(_xll.BDP(I212,"BID")/100)+D212)</f>
        <v>1.7000000000000001E-3</v>
      </c>
      <c r="N213" s="49"/>
      <c r="O213" s="43"/>
      <c r="P213" s="53"/>
      <c r="Q213" s="27">
        <f>Q$165+$A212</f>
        <v>-0.231767</v>
      </c>
      <c r="R213" s="27">
        <f t="shared" ref="R213" si="230">R$165+$A212</f>
        <v>-0.231096</v>
      </c>
      <c r="S213" s="27">
        <f t="shared" ref="S213" si="231">S$165+$A212</f>
        <v>-0.23030600000000001</v>
      </c>
      <c r="T213" s="27">
        <f t="shared" ref="T213" si="232">T$165+$A212</f>
        <v>-0.22946900000000001</v>
      </c>
      <c r="U213" s="27">
        <f t="shared" ref="U213" si="233">U$165+$A212</f>
        <v>-0.22856699999999999</v>
      </c>
      <c r="V213" s="27">
        <f t="shared" ref="V213" si="234">V$165+$A212</f>
        <v>-0.22733400000000001</v>
      </c>
      <c r="W213" s="27">
        <f t="shared" ref="W213" si="235">W$165+$A212</f>
        <v>-0.21482200000000001</v>
      </c>
      <c r="X213" s="27">
        <f t="shared" ref="X213" si="236">X$165+$A212</f>
        <v>-0.21183299999999999</v>
      </c>
      <c r="Y213" s="27">
        <f t="shared" ref="Y213" si="237">Y$165+$A212</f>
        <v>-0.22143199999999999</v>
      </c>
      <c r="Z213" s="27">
        <f t="shared" ref="Z213" si="238">Z$165+$A212</f>
        <v>-0.17646300000000001</v>
      </c>
      <c r="AA213" s="27">
        <f t="shared" ref="AA213" si="239">AA$165+$A212</f>
        <v>-0.12940099999999999</v>
      </c>
      <c r="AB213" s="27">
        <f t="shared" ref="AB213" si="240">AB$165+$A212</f>
        <v>-3.8256000000000012E-2</v>
      </c>
      <c r="AC213" s="27">
        <f t="shared" ref="AC213" si="241">AC$165+$A212</f>
        <v>8.4557999999999994E-2</v>
      </c>
      <c r="AD213" s="27">
        <f t="shared" ref="AD213" si="242">AD$165+$A212</f>
        <v>0.23729199999999998</v>
      </c>
      <c r="AE213" s="27">
        <f t="shared" ref="AE213" si="243">AE$165+$A212</f>
        <v>0.38465800000000006</v>
      </c>
      <c r="AF213" s="27">
        <f t="shared" ref="AF213" si="244">AF$165+$A212</f>
        <v>0.516378</v>
      </c>
      <c r="AG213" s="27">
        <f t="shared" ref="AG213" si="245">AG$165+$A212</f>
        <v>0.61727200000000004</v>
      </c>
      <c r="AH213" s="27">
        <f t="shared" ref="AH213" si="246">AH$165+$A212</f>
        <v>0.66251400000000005</v>
      </c>
      <c r="AI213" s="27">
        <f t="shared" ref="AI213" si="247">AI$165+$A212</f>
        <v>0.69771800000000006</v>
      </c>
      <c r="AJ213" s="27">
        <f t="shared" ref="AJ213" si="248">AJ$165+$A212</f>
        <v>0.71530700000000003</v>
      </c>
      <c r="AK213" s="27">
        <f t="shared" ref="AK213" si="249">AK$165+$A212</f>
        <v>0.72947800000000007</v>
      </c>
      <c r="AL213" s="27">
        <f t="shared" ref="AL213" si="250">AL$165+$A212</f>
        <v>0.737174</v>
      </c>
    </row>
    <row r="214" spans="1:38" ht="12.75" thickBot="1">
      <c r="A214" s="62"/>
      <c r="B214" s="62"/>
      <c r="C214" s="63"/>
      <c r="D214" s="63"/>
      <c r="E214" s="63"/>
      <c r="F214" s="63"/>
      <c r="G214" s="63"/>
      <c r="J214" s="38"/>
      <c r="K214" s="4">
        <f t="shared" si="229"/>
        <v>0</v>
      </c>
      <c r="L214" s="56" t="s">
        <v>61</v>
      </c>
      <c r="M214" s="38">
        <f>IF(D212&gt;0,_xll.BDP(I212,"ASK")/100,(_xll.BDP(I212,"ASK")/100)+D212)</f>
        <v>1.9E-3</v>
      </c>
      <c r="N214" s="49"/>
      <c r="O214" s="43"/>
      <c r="P214" s="53"/>
      <c r="Q214" s="29" t="str">
        <f>$H212&amp;$H$179&amp;"_"&amp;Q$172&amp;$P$172</f>
        <v>154.5C_147P</v>
      </c>
      <c r="R214" s="29" t="str">
        <f t="shared" ref="R214:AL214" si="251">$H212&amp;$H$179&amp;"_"&amp;R$172&amp;$P$172</f>
        <v>154.5C_147.5P</v>
      </c>
      <c r="S214" s="29" t="str">
        <f t="shared" si="251"/>
        <v>154.5C_148P</v>
      </c>
      <c r="T214" s="29" t="str">
        <f t="shared" si="251"/>
        <v>154.5C_148.5P</v>
      </c>
      <c r="U214" s="29" t="str">
        <f t="shared" si="251"/>
        <v>154.5C_149P</v>
      </c>
      <c r="V214" s="29" t="str">
        <f t="shared" si="251"/>
        <v>154.5C_149.5P</v>
      </c>
      <c r="W214" s="29" t="str">
        <f t="shared" si="251"/>
        <v>154.5C_150P</v>
      </c>
      <c r="X214" s="29" t="str">
        <f t="shared" si="251"/>
        <v>154.5C_150.5P</v>
      </c>
      <c r="Y214" s="29" t="str">
        <f t="shared" si="251"/>
        <v>154.5C_151P</v>
      </c>
      <c r="Z214" s="29" t="str">
        <f t="shared" si="251"/>
        <v>154.5C_151.5P</v>
      </c>
      <c r="AA214" s="29" t="str">
        <f t="shared" si="251"/>
        <v>154.5C_152P</v>
      </c>
      <c r="AB214" s="29" t="str">
        <f t="shared" si="251"/>
        <v>154.5C_152.5P</v>
      </c>
      <c r="AC214" s="29" t="str">
        <f t="shared" si="251"/>
        <v>154.5C_153P</v>
      </c>
      <c r="AD214" s="29" t="str">
        <f t="shared" si="251"/>
        <v>154.5C_153.5P</v>
      </c>
      <c r="AE214" s="29" t="str">
        <f t="shared" si="251"/>
        <v>154.5C_154P</v>
      </c>
      <c r="AF214" s="29" t="str">
        <f t="shared" si="251"/>
        <v>154.5C_154.5P</v>
      </c>
      <c r="AG214" s="29" t="str">
        <f t="shared" si="251"/>
        <v>154.5C_155P</v>
      </c>
      <c r="AH214" s="29" t="str">
        <f t="shared" si="251"/>
        <v>154.5C_155.5P</v>
      </c>
      <c r="AI214" s="29" t="str">
        <f t="shared" si="251"/>
        <v>154.5C_156P</v>
      </c>
      <c r="AJ214" s="29" t="str">
        <f t="shared" si="251"/>
        <v>154.5C_156.5P</v>
      </c>
      <c r="AK214" s="29" t="str">
        <f t="shared" si="251"/>
        <v>154.5C_157P</v>
      </c>
      <c r="AL214" s="29" t="str">
        <f t="shared" si="251"/>
        <v>154.5C_157.5P</v>
      </c>
    </row>
    <row r="215" spans="1:38" ht="12.75" thickTop="1">
      <c r="A215" s="62"/>
      <c r="B215" s="62"/>
      <c r="C215" s="63"/>
      <c r="D215" s="63"/>
      <c r="E215" s="63"/>
      <c r="F215" s="63"/>
      <c r="G215" s="63"/>
      <c r="J215" s="38"/>
      <c r="K215" s="4">
        <f t="shared" si="229"/>
        <v>0</v>
      </c>
      <c r="M215" s="38"/>
      <c r="N215" s="49"/>
      <c r="O215" s="43"/>
      <c r="P215" s="53"/>
      <c r="Q215" s="64"/>
      <c r="R215" s="64"/>
      <c r="S215" s="64"/>
      <c r="T215" s="64"/>
      <c r="U215" s="64"/>
      <c r="V215" s="64"/>
      <c r="W215" s="64"/>
      <c r="X215" s="64"/>
      <c r="Y215" s="64"/>
      <c r="Z215" s="64"/>
      <c r="AA215" s="64"/>
      <c r="AB215" s="64"/>
      <c r="AC215" s="64"/>
      <c r="AD215" s="64"/>
      <c r="AE215" s="64"/>
      <c r="AF215" s="64"/>
      <c r="AG215" s="64"/>
      <c r="AH215" s="64"/>
      <c r="AI215" s="64"/>
      <c r="AJ215" s="64"/>
      <c r="AK215" s="64"/>
      <c r="AL215" s="64"/>
    </row>
    <row r="216" spans="1:38">
      <c r="A216" s="62">
        <f>_xll.BDP($I216, A$179)/-1</f>
        <v>-0.368892</v>
      </c>
      <c r="B216" s="62">
        <f>_xll.BDP($I216, B$179)/100</f>
        <v>8.2223900000000003E-2</v>
      </c>
      <c r="C216" s="63">
        <f ca="1">B216*(MIN(SQRT(1/365),(SQRT(($B$174/365)))))</f>
        <v>4.3037956268665474E-3</v>
      </c>
      <c r="D216" s="63">
        <f>(H216-$B$164)/100</f>
        <v>4.3000000000017738E-3</v>
      </c>
      <c r="E216" s="63">
        <f ca="1">ABS(D216/$E$173)</f>
        <v>0.59128728052970825</v>
      </c>
      <c r="F216" s="63">
        <f ca="1">1-_xlfn.NORM.S.DIST(E216,1)</f>
        <v>0.27716397527234982</v>
      </c>
      <c r="G216" s="63">
        <f>IF(D216&gt;0,0,0.25*$B$176)</f>
        <v>0</v>
      </c>
      <c r="H216" s="4">
        <v>154.00000000000017</v>
      </c>
      <c r="I216" t="str">
        <f>($I$179&amp;" "&amp;H216&amp;" COMB Curncy")</f>
        <v>3BV5C 154 COMB Curncy</v>
      </c>
      <c r="J216" s="38">
        <f ca="1">-1*CGBlackScholes("t","c",B$164,H216,$B$174/365,$B$166,$B$165,B216)/100</f>
        <v>3.852282011432494E-4</v>
      </c>
      <c r="K216" s="4">
        <f ca="1">J216*P216</f>
        <v>0</v>
      </c>
      <c r="L216" s="56">
        <f ca="1">CGBlackScholes("g","c",B$164,H216,$B$174/365,$B$166,$B$165,B216)</f>
        <v>0.17645935793026296</v>
      </c>
      <c r="M216" s="38">
        <f ca="1">((M217+M218)/2)/$B$174</f>
        <v>2.8329642067447273E-4</v>
      </c>
      <c r="N216" s="49">
        <f ca="1">(MIN($J216,$M216) - $B$172*$B$173/10000*$F216)*10000</f>
        <v>-30.426712825937251</v>
      </c>
      <c r="O216" s="43" t="str">
        <f>ROUND((($M218*10000)+$B$173),0)&amp;" ticks"</f>
        <v>45 ticks</v>
      </c>
      <c r="P216" s="53">
        <f>SUM(Q215:AL215)</f>
        <v>0</v>
      </c>
      <c r="Q216" s="27" t="e">
        <f ca="1">(MIN(($J216+Q$174),($M216+Q$179))- $B$176 - (($B$172*$B$176)*MAX($F216,Q$170))-($G216+Q$171))* 10000</f>
        <v>#VALUE!</v>
      </c>
      <c r="R216" s="27" t="e">
        <f t="shared" ref="R216:AL216" ca="1" si="252">(MIN(($J216+R$174),($M216+R$179))- $B$176 - (($B$172*$B$176)*MAX($F216,R$170))-($G216+R$171))* 10000</f>
        <v>#VALUE!</v>
      </c>
      <c r="S216" s="27" t="e">
        <f t="shared" ca="1" si="252"/>
        <v>#VALUE!</v>
      </c>
      <c r="T216" s="27" t="e">
        <f t="shared" ca="1" si="252"/>
        <v>#VALUE!</v>
      </c>
      <c r="U216" s="27" t="e">
        <f t="shared" ca="1" si="252"/>
        <v>#VALUE!</v>
      </c>
      <c r="V216" s="27" t="e">
        <f t="shared" ca="1" si="252"/>
        <v>#VALUE!</v>
      </c>
      <c r="W216" s="27" t="e">
        <f t="shared" ca="1" si="252"/>
        <v>#VALUE!</v>
      </c>
      <c r="X216" s="27" t="e">
        <f t="shared" ca="1" si="252"/>
        <v>#VALUE!</v>
      </c>
      <c r="Y216" s="27">
        <f t="shared" ca="1" si="252"/>
        <v>-0.99682068790917921</v>
      </c>
      <c r="Z216" s="27">
        <f t="shared" ca="1" si="252"/>
        <v>-0.81976042498763346</v>
      </c>
      <c r="AA216" s="27">
        <f t="shared" ca="1" si="252"/>
        <v>-0.55417003060531522</v>
      </c>
      <c r="AB216" s="27">
        <f t="shared" ca="1" si="252"/>
        <v>0.10980595535047986</v>
      </c>
      <c r="AC216" s="27">
        <f t="shared" ca="1" si="252"/>
        <v>1.2164325986101394</v>
      </c>
      <c r="AD216" s="27">
        <f t="shared" ca="1" si="252"/>
        <v>0.98277015141104107</v>
      </c>
      <c r="AE216" s="27">
        <f t="shared" ca="1" si="252"/>
        <v>1.4377579272605008</v>
      </c>
      <c r="AF216" s="27">
        <f t="shared" ca="1" si="252"/>
        <v>0.10980595534890936</v>
      </c>
      <c r="AG216" s="27">
        <f t="shared" ca="1" si="252"/>
        <v>-0.50990496487649872</v>
      </c>
      <c r="AH216" s="27">
        <f t="shared" ca="1" si="252"/>
        <v>-0.95255562218061529</v>
      </c>
      <c r="AI216" s="27">
        <f t="shared" ca="1" si="252"/>
        <v>-1.1738809508325458</v>
      </c>
      <c r="AJ216" s="27">
        <f t="shared" ca="1" si="252"/>
        <v>-1.2624110822935715</v>
      </c>
      <c r="AK216" s="27">
        <f t="shared" ca="1" si="252"/>
        <v>-1.3509412137543437</v>
      </c>
      <c r="AL216" s="27">
        <f t="shared" ca="1" si="252"/>
        <v>-1.3952062794847313</v>
      </c>
    </row>
    <row r="217" spans="1:38">
      <c r="A217" s="62"/>
      <c r="B217" s="62"/>
      <c r="C217" s="63"/>
      <c r="D217" s="63"/>
      <c r="E217" s="63"/>
      <c r="F217" s="63"/>
      <c r="G217" s="63"/>
      <c r="J217" s="38"/>
      <c r="K217" s="4">
        <f t="shared" ref="K217:K219" si="253">J217*P217</f>
        <v>0</v>
      </c>
      <c r="L217" s="56" t="s">
        <v>60</v>
      </c>
      <c r="M217" s="38">
        <f>IF(D216&gt;0,_xll.BDP(I216,"BID")/100,(_xll.BDP(I216,"BID")/100)+D216)</f>
        <v>3.0999999999999999E-3</v>
      </c>
      <c r="N217" s="49"/>
      <c r="O217" s="43"/>
      <c r="P217" s="53"/>
      <c r="Q217" s="27">
        <f>Q$165+$A216</f>
        <v>-0.35887200000000002</v>
      </c>
      <c r="R217" s="27">
        <f t="shared" ref="R217" si="254">R$165+$A216</f>
        <v>-0.35820099999999999</v>
      </c>
      <c r="S217" s="27">
        <f t="shared" ref="S217" si="255">S$165+$A216</f>
        <v>-0.35741099999999998</v>
      </c>
      <c r="T217" s="27">
        <f t="shared" ref="T217" si="256">T$165+$A216</f>
        <v>-0.356574</v>
      </c>
      <c r="U217" s="27">
        <f t="shared" ref="U217" si="257">U$165+$A216</f>
        <v>-0.35567199999999999</v>
      </c>
      <c r="V217" s="27">
        <f t="shared" ref="V217" si="258">V$165+$A216</f>
        <v>-0.354439</v>
      </c>
      <c r="W217" s="27">
        <f t="shared" ref="W217" si="259">W$165+$A216</f>
        <v>-0.34192699999999998</v>
      </c>
      <c r="X217" s="27">
        <f t="shared" ref="X217" si="260">X$165+$A216</f>
        <v>-0.33893800000000002</v>
      </c>
      <c r="Y217" s="27">
        <f t="shared" ref="Y217" si="261">Y$165+$A216</f>
        <v>-0.34853699999999999</v>
      </c>
      <c r="Z217" s="27">
        <f t="shared" ref="Z217" si="262">Z$165+$A216</f>
        <v>-0.303568</v>
      </c>
      <c r="AA217" s="27">
        <f t="shared" ref="AA217" si="263">AA$165+$A216</f>
        <v>-0.25650600000000001</v>
      </c>
      <c r="AB217" s="27">
        <f t="shared" ref="AB217" si="264">AB$165+$A216</f>
        <v>-0.16536100000000001</v>
      </c>
      <c r="AC217" s="27">
        <f t="shared" ref="AC217" si="265">AC$165+$A216</f>
        <v>-4.2547000000000001E-2</v>
      </c>
      <c r="AD217" s="27">
        <f t="shared" ref="AD217" si="266">AD$165+$A216</f>
        <v>0.11018699999999998</v>
      </c>
      <c r="AE217" s="27">
        <f t="shared" ref="AE217" si="267">AE$165+$A216</f>
        <v>0.25755300000000003</v>
      </c>
      <c r="AF217" s="27">
        <f t="shared" ref="AF217" si="268">AF$165+$A216</f>
        <v>0.38927299999999998</v>
      </c>
      <c r="AG217" s="27">
        <f t="shared" ref="AG217" si="269">AG$165+$A216</f>
        <v>0.49016700000000002</v>
      </c>
      <c r="AH217" s="27">
        <f t="shared" ref="AH217" si="270">AH$165+$A216</f>
        <v>0.53540900000000002</v>
      </c>
      <c r="AI217" s="27">
        <f t="shared" ref="AI217" si="271">AI$165+$A216</f>
        <v>0.57061300000000004</v>
      </c>
      <c r="AJ217" s="27">
        <f t="shared" ref="AJ217" si="272">AJ$165+$A216</f>
        <v>0.588202</v>
      </c>
      <c r="AK217" s="27">
        <f t="shared" ref="AK217" si="273">AK$165+$A216</f>
        <v>0.60237300000000005</v>
      </c>
      <c r="AL217" s="27">
        <f t="shared" ref="AL217" si="274">AL$165+$A216</f>
        <v>0.61006899999999997</v>
      </c>
    </row>
    <row r="218" spans="1:38" ht="12.75" thickBot="1">
      <c r="A218" s="62"/>
      <c r="B218" s="62"/>
      <c r="C218" s="63"/>
      <c r="D218" s="63"/>
      <c r="E218" s="63"/>
      <c r="F218" s="63"/>
      <c r="G218" s="63"/>
      <c r="J218" s="38"/>
      <c r="K218" s="4">
        <f t="shared" si="253"/>
        <v>0</v>
      </c>
      <c r="L218" s="56" t="s">
        <v>61</v>
      </c>
      <c r="M218" s="38">
        <f>IF(D216&gt;0,_xll.BDP(I216,"ASK")/100,(_xll.BDP(I216,"ASK")/100)+D216)</f>
        <v>3.3E-3</v>
      </c>
      <c r="N218" s="49"/>
      <c r="O218" s="43"/>
      <c r="P218" s="53"/>
      <c r="Q218" s="29" t="str">
        <f>$H216&amp;$H$179&amp;"_"&amp;Q$172&amp;$P$172</f>
        <v>154C_147P</v>
      </c>
      <c r="R218" s="29" t="str">
        <f t="shared" ref="R218:AL218" si="275">$H216&amp;$H$179&amp;"_"&amp;R$172&amp;$P$172</f>
        <v>154C_147.5P</v>
      </c>
      <c r="S218" s="29" t="str">
        <f t="shared" si="275"/>
        <v>154C_148P</v>
      </c>
      <c r="T218" s="29" t="str">
        <f t="shared" si="275"/>
        <v>154C_148.5P</v>
      </c>
      <c r="U218" s="29" t="str">
        <f t="shared" si="275"/>
        <v>154C_149P</v>
      </c>
      <c r="V218" s="29" t="str">
        <f t="shared" si="275"/>
        <v>154C_149.5P</v>
      </c>
      <c r="W218" s="29" t="str">
        <f t="shared" si="275"/>
        <v>154C_150P</v>
      </c>
      <c r="X218" s="29" t="str">
        <f t="shared" si="275"/>
        <v>154C_150.5P</v>
      </c>
      <c r="Y218" s="29" t="str">
        <f t="shared" si="275"/>
        <v>154C_151P</v>
      </c>
      <c r="Z218" s="29" t="str">
        <f t="shared" si="275"/>
        <v>154C_151.5P</v>
      </c>
      <c r="AA218" s="29" t="str">
        <f t="shared" si="275"/>
        <v>154C_152P</v>
      </c>
      <c r="AB218" s="29" t="str">
        <f t="shared" si="275"/>
        <v>154C_152.5P</v>
      </c>
      <c r="AC218" s="29" t="str">
        <f t="shared" si="275"/>
        <v>154C_153P</v>
      </c>
      <c r="AD218" s="29" t="str">
        <f t="shared" si="275"/>
        <v>154C_153.5P</v>
      </c>
      <c r="AE218" s="29" t="str">
        <f t="shared" si="275"/>
        <v>154C_154P</v>
      </c>
      <c r="AF218" s="29" t="str">
        <f t="shared" si="275"/>
        <v>154C_154.5P</v>
      </c>
      <c r="AG218" s="29" t="str">
        <f t="shared" si="275"/>
        <v>154C_155P</v>
      </c>
      <c r="AH218" s="29" t="str">
        <f t="shared" si="275"/>
        <v>154C_155.5P</v>
      </c>
      <c r="AI218" s="29" t="str">
        <f t="shared" si="275"/>
        <v>154C_156P</v>
      </c>
      <c r="AJ218" s="29" t="str">
        <f t="shared" si="275"/>
        <v>154C_156.5P</v>
      </c>
      <c r="AK218" s="29" t="str">
        <f t="shared" si="275"/>
        <v>154C_157P</v>
      </c>
      <c r="AL218" s="29" t="str">
        <f t="shared" si="275"/>
        <v>154C_157.5P</v>
      </c>
    </row>
    <row r="219" spans="1:38" ht="12.75" thickTop="1">
      <c r="A219" s="62"/>
      <c r="B219" s="62"/>
      <c r="C219" s="63"/>
      <c r="D219" s="63"/>
      <c r="E219" s="63"/>
      <c r="F219" s="63"/>
      <c r="G219" s="63"/>
      <c r="J219" s="38"/>
      <c r="K219" s="4">
        <f t="shared" si="253"/>
        <v>0</v>
      </c>
      <c r="M219" s="38"/>
      <c r="N219" s="49"/>
      <c r="O219" s="43"/>
      <c r="P219" s="53"/>
      <c r="Q219" s="64"/>
      <c r="R219" s="64"/>
      <c r="S219" s="64"/>
      <c r="T219" s="64"/>
      <c r="U219" s="64"/>
      <c r="V219" s="64"/>
      <c r="W219" s="64"/>
      <c r="X219" s="64"/>
      <c r="Y219" s="64"/>
      <c r="Z219" s="64"/>
      <c r="AA219" s="64"/>
      <c r="AB219" s="64"/>
      <c r="AC219" s="64"/>
      <c r="AD219" s="64"/>
      <c r="AE219" s="64"/>
      <c r="AF219" s="64"/>
      <c r="AG219" s="64"/>
      <c r="AH219" s="64"/>
      <c r="AI219" s="64"/>
      <c r="AJ219" s="64"/>
      <c r="AK219" s="64"/>
      <c r="AL219" s="64"/>
    </row>
    <row r="220" spans="1:38">
      <c r="A220" s="62">
        <f>_xll.BDP($I220, A$179)/-1</f>
        <v>-0.52370000000000005</v>
      </c>
      <c r="B220" s="62">
        <f>_xll.BDP($I220, B$179)/100</f>
        <v>8.2036810000000002E-2</v>
      </c>
      <c r="C220" s="63">
        <f ca="1">B220*(MIN(SQRT(1/365),(SQRT(($B$174/365)))))</f>
        <v>4.2940028886988071E-3</v>
      </c>
      <c r="D220" s="63">
        <f>(H220-$B$164)/100</f>
        <v>-6.9999999999851073E-4</v>
      </c>
      <c r="E220" s="63">
        <f ca="1">ABS(D220/$E$173)</f>
        <v>9.6256068923196395E-2</v>
      </c>
      <c r="F220" s="63">
        <f ca="1">1-_xlfn.NORM.S.DIST(E220,1)</f>
        <v>0.46165860046789997</v>
      </c>
      <c r="G220" s="63">
        <f ca="1">IF(D220&gt;0,0,0.25*$B$176)</f>
        <v>2.6559039438231819E-5</v>
      </c>
      <c r="H220" s="4">
        <v>153.50000000000014</v>
      </c>
      <c r="I220" t="str">
        <f>($I$179&amp;" "&amp;H220&amp;" COMB Curncy")</f>
        <v>3BV5C 153.5 COMB Curncy</v>
      </c>
      <c r="J220" s="38">
        <f ca="1">-1*CGBlackScholes("t","c",B$164,H220,$B$174/365,$B$166,$B$165,B220)/100</f>
        <v>3.9070871473760371E-4</v>
      </c>
      <c r="K220" s="4">
        <f ca="1">J220*P220</f>
        <v>0</v>
      </c>
      <c r="L220" s="56">
        <f ca="1">CGBlackScholes("g","c",B$164,H220,$B$174/365,$B$166,$B$165,B220)</f>
        <v>0.17981481612925973</v>
      </c>
      <c r="M220" s="38">
        <f ca="1">((M221+M222)/2)/$B$174</f>
        <v>4.160916178657637E-4</v>
      </c>
      <c r="N220" s="49">
        <f ca="1">(MIN($J220,$M220) - $B$172*$B$173/10000*$F220)*10000</f>
        <v>-51.49194490877197</v>
      </c>
      <c r="O220" s="43" t="str">
        <f>ROUND((($M222*10000)+$B$173),0)&amp;" ticks"</f>
        <v>61 ticks</v>
      </c>
      <c r="P220" s="53">
        <f>SUM(Q219:AL219)</f>
        <v>0</v>
      </c>
      <c r="Q220" s="27" t="e">
        <f ca="1">(MIN(($J220+Q$174),($M220+Q$179))- $B$176 - (($B$172*$B$176)*MAX($F220,Q$170))-($G220+Q$171))* 10000</f>
        <v>#VALUE!</v>
      </c>
      <c r="R220" s="27" t="e">
        <f t="shared" ref="R220:AL220" ca="1" si="276">(MIN(($J220+R$174),($M220+R$179))- $B$176 - (($B$172*$B$176)*MAX($F220,R$170))-($G220+R$171))* 10000</f>
        <v>#VALUE!</v>
      </c>
      <c r="S220" s="27" t="e">
        <f t="shared" ca="1" si="276"/>
        <v>#VALUE!</v>
      </c>
      <c r="T220" s="27" t="e">
        <f t="shared" ca="1" si="276"/>
        <v>#VALUE!</v>
      </c>
      <c r="U220" s="27" t="e">
        <f t="shared" ca="1" si="276"/>
        <v>#VALUE!</v>
      </c>
      <c r="V220" s="27" t="e">
        <f t="shared" ca="1" si="276"/>
        <v>#VALUE!</v>
      </c>
      <c r="W220" s="27" t="e">
        <f t="shared" ca="1" si="276"/>
        <v>#VALUE!</v>
      </c>
      <c r="X220" s="27" t="e">
        <f t="shared" ca="1" si="276"/>
        <v>#VALUE!</v>
      </c>
      <c r="Y220" s="27">
        <f t="shared" ca="1" si="276"/>
        <v>-1.8944591210627537</v>
      </c>
      <c r="Z220" s="27">
        <f t="shared" ca="1" si="276"/>
        <v>-1.7173988581412081</v>
      </c>
      <c r="AA220" s="27">
        <f t="shared" ca="1" si="276"/>
        <v>-1.4518084637588899</v>
      </c>
      <c r="AB220" s="27">
        <f t="shared" ca="1" si="276"/>
        <v>-0.78783247780309473</v>
      </c>
      <c r="AC220" s="27">
        <f t="shared" ca="1" si="276"/>
        <v>0.31879416545656486</v>
      </c>
      <c r="AD220" s="27">
        <f t="shared" ca="1" si="276"/>
        <v>1.5036373076966221</v>
      </c>
      <c r="AE220" s="27">
        <f t="shared" ca="1" si="276"/>
        <v>0.54011949410692706</v>
      </c>
      <c r="AF220" s="27">
        <f t="shared" ca="1" si="276"/>
        <v>-0.78783247780466525</v>
      </c>
      <c r="AG220" s="27">
        <f t="shared" ca="1" si="276"/>
        <v>-1.4075433980300733</v>
      </c>
      <c r="AH220" s="27">
        <f t="shared" ca="1" si="276"/>
        <v>-1.85019405533419</v>
      </c>
      <c r="AI220" s="27">
        <f t="shared" ca="1" si="276"/>
        <v>-2.0715193839861206</v>
      </c>
      <c r="AJ220" s="27">
        <f t="shared" ca="1" si="276"/>
        <v>-2.1600495154471462</v>
      </c>
      <c r="AK220" s="27">
        <f t="shared" ca="1" si="276"/>
        <v>-2.2485796469079182</v>
      </c>
      <c r="AL220" s="27">
        <f t="shared" ca="1" si="276"/>
        <v>-2.2928447126383058</v>
      </c>
    </row>
    <row r="221" spans="1:38">
      <c r="A221" s="62"/>
      <c r="B221" s="62"/>
      <c r="C221" s="63"/>
      <c r="D221" s="63"/>
      <c r="E221" s="63"/>
      <c r="F221" s="63"/>
      <c r="G221" s="63"/>
      <c r="J221" s="38"/>
      <c r="K221" s="4">
        <f t="shared" ref="K221:K223" si="277">J221*P221</f>
        <v>0</v>
      </c>
      <c r="L221" s="56" t="s">
        <v>60</v>
      </c>
      <c r="M221" s="38">
        <f>IF(D220&gt;0,_xll.BDP(I220,"BID")/100,(_xll.BDP(I220,"BID")/100)+D220)</f>
        <v>4.5000000000014889E-3</v>
      </c>
      <c r="N221" s="49"/>
      <c r="O221" s="43"/>
      <c r="P221" s="53"/>
      <c r="Q221" s="27">
        <f>Q$165+$A220</f>
        <v>-0.51368000000000003</v>
      </c>
      <c r="R221" s="27">
        <f t="shared" ref="R221" si="278">R$165+$A220</f>
        <v>-0.51300900000000005</v>
      </c>
      <c r="S221" s="27">
        <f t="shared" ref="S221" si="279">S$165+$A220</f>
        <v>-0.51221900000000009</v>
      </c>
      <c r="T221" s="27">
        <f t="shared" ref="T221" si="280">T$165+$A220</f>
        <v>-0.511382</v>
      </c>
      <c r="U221" s="27">
        <f t="shared" ref="U221" si="281">U$165+$A220</f>
        <v>-0.51048000000000004</v>
      </c>
      <c r="V221" s="27">
        <f t="shared" ref="V221" si="282">V$165+$A220</f>
        <v>-0.50924700000000001</v>
      </c>
      <c r="W221" s="27">
        <f t="shared" ref="W221" si="283">W$165+$A220</f>
        <v>-0.49673500000000004</v>
      </c>
      <c r="X221" s="27">
        <f t="shared" ref="X221" si="284">X$165+$A220</f>
        <v>-0.49374600000000007</v>
      </c>
      <c r="Y221" s="27">
        <f t="shared" ref="Y221" si="285">Y$165+$A220</f>
        <v>-0.50334500000000004</v>
      </c>
      <c r="Z221" s="27">
        <f t="shared" ref="Z221" si="286">Z$165+$A220</f>
        <v>-0.45837600000000006</v>
      </c>
      <c r="AA221" s="27">
        <f t="shared" ref="AA221" si="287">AA$165+$A220</f>
        <v>-0.41131400000000007</v>
      </c>
      <c r="AB221" s="27">
        <f t="shared" ref="AB221" si="288">AB$165+$A220</f>
        <v>-0.32016900000000004</v>
      </c>
      <c r="AC221" s="27">
        <f t="shared" ref="AC221" si="289">AC$165+$A220</f>
        <v>-0.19735500000000006</v>
      </c>
      <c r="AD221" s="27">
        <f t="shared" ref="AD221" si="290">AD$165+$A220</f>
        <v>-4.4621000000000077E-2</v>
      </c>
      <c r="AE221" s="27">
        <f t="shared" ref="AE221" si="291">AE$165+$A220</f>
        <v>0.10274499999999998</v>
      </c>
      <c r="AF221" s="27">
        <f t="shared" ref="AF221" si="292">AF$165+$A220</f>
        <v>0.23446499999999992</v>
      </c>
      <c r="AG221" s="27">
        <f t="shared" ref="AG221" si="293">AG$165+$A220</f>
        <v>0.33535899999999996</v>
      </c>
      <c r="AH221" s="27">
        <f t="shared" ref="AH221" si="294">AH$165+$A220</f>
        <v>0.38060099999999997</v>
      </c>
      <c r="AI221" s="27">
        <f t="shared" ref="AI221" si="295">AI$165+$A220</f>
        <v>0.41580499999999998</v>
      </c>
      <c r="AJ221" s="27">
        <f t="shared" ref="AJ221" si="296">AJ$165+$A220</f>
        <v>0.43339399999999995</v>
      </c>
      <c r="AK221" s="27">
        <f t="shared" ref="AK221" si="297">AK$165+$A220</f>
        <v>0.44756499999999999</v>
      </c>
      <c r="AL221" s="27">
        <f t="shared" ref="AL221" si="298">AL$165+$A220</f>
        <v>0.45526099999999992</v>
      </c>
    </row>
    <row r="222" spans="1:38" ht="12.75" thickBot="1">
      <c r="A222" s="62"/>
      <c r="B222" s="62"/>
      <c r="C222" s="63"/>
      <c r="D222" s="63"/>
      <c r="E222" s="63"/>
      <c r="F222" s="63"/>
      <c r="G222" s="63"/>
      <c r="J222" s="38"/>
      <c r="K222" s="4">
        <f t="shared" si="277"/>
        <v>0</v>
      </c>
      <c r="L222" s="56" t="s">
        <v>61</v>
      </c>
      <c r="M222" s="38">
        <f>IF(D220&gt;0,_xll.BDP(I220,"ASK")/100,(_xll.BDP(I220,"ASK")/100)+D220)</f>
        <v>4.90000000000149E-3</v>
      </c>
      <c r="N222" s="49"/>
      <c r="O222" s="43"/>
      <c r="P222" s="53"/>
      <c r="Q222" s="29" t="str">
        <f>$H220&amp;$H$179&amp;"_"&amp;Q$172&amp;$P$172</f>
        <v>153.5C_147P</v>
      </c>
      <c r="R222" s="29" t="str">
        <f t="shared" ref="R222:AL222" si="299">$H220&amp;$H$179&amp;"_"&amp;R$172&amp;$P$172</f>
        <v>153.5C_147.5P</v>
      </c>
      <c r="S222" s="29" t="str">
        <f t="shared" si="299"/>
        <v>153.5C_148P</v>
      </c>
      <c r="T222" s="29" t="str">
        <f t="shared" si="299"/>
        <v>153.5C_148.5P</v>
      </c>
      <c r="U222" s="29" t="str">
        <f t="shared" si="299"/>
        <v>153.5C_149P</v>
      </c>
      <c r="V222" s="29" t="str">
        <f t="shared" si="299"/>
        <v>153.5C_149.5P</v>
      </c>
      <c r="W222" s="29" t="str">
        <f t="shared" si="299"/>
        <v>153.5C_150P</v>
      </c>
      <c r="X222" s="29" t="str">
        <f t="shared" si="299"/>
        <v>153.5C_150.5P</v>
      </c>
      <c r="Y222" s="29" t="str">
        <f t="shared" si="299"/>
        <v>153.5C_151P</v>
      </c>
      <c r="Z222" s="29" t="str">
        <f t="shared" si="299"/>
        <v>153.5C_151.5P</v>
      </c>
      <c r="AA222" s="29" t="str">
        <f t="shared" si="299"/>
        <v>153.5C_152P</v>
      </c>
      <c r="AB222" s="29" t="str">
        <f t="shared" si="299"/>
        <v>153.5C_152.5P</v>
      </c>
      <c r="AC222" s="29" t="str">
        <f t="shared" si="299"/>
        <v>153.5C_153P</v>
      </c>
      <c r="AD222" s="29" t="str">
        <f t="shared" si="299"/>
        <v>153.5C_153.5P</v>
      </c>
      <c r="AE222" s="29" t="str">
        <f t="shared" si="299"/>
        <v>153.5C_154P</v>
      </c>
      <c r="AF222" s="29" t="str">
        <f t="shared" si="299"/>
        <v>153.5C_154.5P</v>
      </c>
      <c r="AG222" s="29" t="str">
        <f t="shared" si="299"/>
        <v>153.5C_155P</v>
      </c>
      <c r="AH222" s="29" t="str">
        <f t="shared" si="299"/>
        <v>153.5C_155.5P</v>
      </c>
      <c r="AI222" s="29" t="str">
        <f t="shared" si="299"/>
        <v>153.5C_156P</v>
      </c>
      <c r="AJ222" s="29" t="str">
        <f t="shared" si="299"/>
        <v>153.5C_156.5P</v>
      </c>
      <c r="AK222" s="29" t="str">
        <f t="shared" si="299"/>
        <v>153.5C_157P</v>
      </c>
      <c r="AL222" s="29" t="str">
        <f t="shared" si="299"/>
        <v>153.5C_157.5P</v>
      </c>
    </row>
    <row r="223" spans="1:38" ht="12.75" thickTop="1">
      <c r="A223" s="62"/>
      <c r="B223" s="62"/>
      <c r="C223" s="63"/>
      <c r="D223" s="63"/>
      <c r="E223" s="63"/>
      <c r="F223" s="63"/>
      <c r="G223" s="63"/>
      <c r="J223" s="38"/>
      <c r="K223" s="4">
        <f t="shared" si="277"/>
        <v>0</v>
      </c>
      <c r="M223" s="38"/>
      <c r="N223" s="49"/>
      <c r="O223" s="43"/>
      <c r="P223" s="53"/>
      <c r="Q223" s="64"/>
      <c r="R223" s="64"/>
      <c r="S223" s="64"/>
      <c r="T223" s="64"/>
      <c r="U223" s="64"/>
      <c r="V223" s="64"/>
      <c r="W223" s="64"/>
      <c r="X223" s="64"/>
      <c r="Y223" s="64"/>
      <c r="Z223" s="64"/>
      <c r="AA223" s="64"/>
      <c r="AB223" s="64"/>
      <c r="AC223" s="64"/>
      <c r="AD223" s="64"/>
      <c r="AE223" s="64"/>
      <c r="AF223" s="64"/>
      <c r="AG223" s="64"/>
      <c r="AH223" s="64"/>
      <c r="AI223" s="64"/>
      <c r="AJ223" s="64"/>
      <c r="AK223" s="64"/>
      <c r="AL223" s="64"/>
    </row>
    <row r="224" spans="1:38">
      <c r="A224" s="62">
        <f>_xll.BDP($I224, A$179)/-1</f>
        <v>-0.67532000000000003</v>
      </c>
      <c r="B224" s="62">
        <f>_xll.BDP($I224, B$179)/100</f>
        <v>8.2205220000000009E-2</v>
      </c>
      <c r="C224" s="63">
        <f ca="1">B224*(MIN(SQRT(1/365),(SQRT(($B$174/365)))))</f>
        <v>4.3028178709791486E-3</v>
      </c>
      <c r="D224" s="63">
        <f>(H224-$B$164)/100</f>
        <v>-5.6999999999985109E-3</v>
      </c>
      <c r="E224" s="63">
        <f ca="1">ABS(D224/$E$173)</f>
        <v>0.78379941837606204</v>
      </c>
      <c r="F224" s="63">
        <f ca="1">1-_xlfn.NORM.S.DIST(E224,1)</f>
        <v>0.21657890759701826</v>
      </c>
      <c r="G224" s="63">
        <f ca="1">IF(D224&gt;0,0,0.25*$B$176)</f>
        <v>2.6559039438231819E-5</v>
      </c>
      <c r="H224" s="4">
        <v>153.00000000000014</v>
      </c>
      <c r="I224" t="str">
        <f>($I$179&amp;" "&amp;H224&amp;" COMB Curncy")</f>
        <v>3BV5C 153 COMB Curncy</v>
      </c>
      <c r="J224" s="38">
        <f ca="1">-1*CGBlackScholes("t","c",B$164,H224,$B$174/365,$B$166,$B$165,B224)/100</f>
        <v>3.7826587367037647E-4</v>
      </c>
      <c r="K224" s="4">
        <f ca="1">J224*P224</f>
        <v>0</v>
      </c>
      <c r="L224" s="56">
        <f ca="1">CGBlackScholes("g","c",B$164,H224,$B$174/365,$B$166,$B$165,B224)</f>
        <v>0.17341439432116901</v>
      </c>
      <c r="M224" s="38">
        <f ca="1">((M225+M226)/2)/$B$174</f>
        <v>2.3903135494421829E-4</v>
      </c>
      <c r="N224" s="49">
        <f ca="1">(MIN($J224,$M224) - $B$172*$B$173/10000*$F224)*10000</f>
        <v>-23.599155362200008</v>
      </c>
      <c r="O224" s="43" t="str">
        <f>ROUND((($M226*10000)+$B$173),0)&amp;" ticks"</f>
        <v>45 ticks</v>
      </c>
      <c r="P224" s="53">
        <f>SUM(Q223:AL223)</f>
        <v>0</v>
      </c>
      <c r="Q224" s="27" t="e">
        <f ca="1">(MIN(($J224+Q$174),($M224+Q$179))- $B$176 - (($B$172*$B$176)*MAX($F224,Q$170))-($G224+Q$171))* 10000</f>
        <v>#VALUE!</v>
      </c>
      <c r="R224" s="27" t="e">
        <f t="shared" ref="R224:AL224" ca="1" si="300">(MIN(($J224+R$174),($M224+R$179))- $B$176 - (($B$172*$B$176)*MAX($F224,R$170))-($G224+R$171))* 10000</f>
        <v>#VALUE!</v>
      </c>
      <c r="S224" s="27" t="e">
        <f t="shared" ca="1" si="300"/>
        <v>#VALUE!</v>
      </c>
      <c r="T224" s="27" t="e">
        <f t="shared" ca="1" si="300"/>
        <v>#VALUE!</v>
      </c>
      <c r="U224" s="27" t="e">
        <f t="shared" ca="1" si="300"/>
        <v>#VALUE!</v>
      </c>
      <c r="V224" s="27" t="e">
        <f t="shared" ca="1" si="300"/>
        <v>#VALUE!</v>
      </c>
      <c r="W224" s="27" t="e">
        <f t="shared" ca="1" si="300"/>
        <v>#VALUE!</v>
      </c>
      <c r="X224" s="27" t="e">
        <f t="shared" ca="1" si="300"/>
        <v>#VALUE!</v>
      </c>
      <c r="Y224" s="27">
        <f t="shared" ca="1" si="300"/>
        <v>-1.061429258891212</v>
      </c>
      <c r="Z224" s="27">
        <f t="shared" ca="1" si="300"/>
        <v>-0.88436899596966612</v>
      </c>
      <c r="AA224" s="27">
        <f t="shared" ca="1" si="300"/>
        <v>-0.61877860158734799</v>
      </c>
      <c r="AB224" s="27">
        <f t="shared" ca="1" si="300"/>
        <v>4.5197384368447648E-2</v>
      </c>
      <c r="AC224" s="27">
        <f t="shared" ca="1" si="300"/>
        <v>1.1518240276281067</v>
      </c>
      <c r="AD224" s="27">
        <f t="shared" ca="1" si="300"/>
        <v>0.27452909972617784</v>
      </c>
      <c r="AE224" s="27">
        <f t="shared" ca="1" si="300"/>
        <v>0.7295168755756386</v>
      </c>
      <c r="AF224" s="27">
        <f t="shared" ca="1" si="300"/>
        <v>4.5197384366876064E-2</v>
      </c>
      <c r="AG224" s="27">
        <f t="shared" ca="1" si="300"/>
        <v>-0.57451353585853149</v>
      </c>
      <c r="AH224" s="27">
        <f t="shared" ca="1" si="300"/>
        <v>-1.0171641931626481</v>
      </c>
      <c r="AI224" s="27">
        <f t="shared" ca="1" si="300"/>
        <v>-1.2384895218145786</v>
      </c>
      <c r="AJ224" s="27">
        <f t="shared" ca="1" si="300"/>
        <v>-1.3270196532756042</v>
      </c>
      <c r="AK224" s="27">
        <f t="shared" ca="1" si="300"/>
        <v>-1.4155497847363765</v>
      </c>
      <c r="AL224" s="27">
        <f t="shared" ca="1" si="300"/>
        <v>-1.4598148504667641</v>
      </c>
    </row>
    <row r="225" spans="1:38">
      <c r="A225" s="62"/>
      <c r="B225" s="62"/>
      <c r="C225" s="63"/>
      <c r="D225" s="63"/>
      <c r="E225" s="63"/>
      <c r="F225" s="63"/>
      <c r="G225" s="63"/>
      <c r="J225" s="38"/>
      <c r="K225" s="4">
        <f t="shared" ref="K225:K227" si="301">J225*P225</f>
        <v>0</v>
      </c>
      <c r="L225" s="56" t="s">
        <v>60</v>
      </c>
      <c r="M225" s="38">
        <f>IF(D224&gt;0,_xll.BDP(I224,"BID")/100,(_xll.BDP(I224,"BID")/100)+D224)</f>
        <v>2.1000000000014896E-3</v>
      </c>
      <c r="N225" s="49"/>
      <c r="O225" s="43"/>
      <c r="P225" s="53"/>
      <c r="Q225" s="27">
        <f>Q$165+$A224</f>
        <v>-0.6653</v>
      </c>
      <c r="R225" s="27">
        <f t="shared" ref="R225" si="302">R$165+$A224</f>
        <v>-0.66462900000000003</v>
      </c>
      <c r="S225" s="27">
        <f t="shared" ref="S225" si="303">S$165+$A224</f>
        <v>-0.66383900000000007</v>
      </c>
      <c r="T225" s="27">
        <f t="shared" ref="T225" si="304">T$165+$A224</f>
        <v>-0.66300199999999998</v>
      </c>
      <c r="U225" s="27">
        <f t="shared" ref="U225" si="305">U$165+$A224</f>
        <v>-0.66210000000000002</v>
      </c>
      <c r="V225" s="27">
        <f t="shared" ref="V225" si="306">V$165+$A224</f>
        <v>-0.66086699999999998</v>
      </c>
      <c r="W225" s="27">
        <f t="shared" ref="W225" si="307">W$165+$A224</f>
        <v>-0.64835500000000001</v>
      </c>
      <c r="X225" s="27">
        <f t="shared" ref="X225" si="308">X$165+$A224</f>
        <v>-0.645366</v>
      </c>
      <c r="Y225" s="27">
        <f t="shared" ref="Y225" si="309">Y$165+$A224</f>
        <v>-0.65496500000000002</v>
      </c>
      <c r="Z225" s="27">
        <f t="shared" ref="Z225" si="310">Z$165+$A224</f>
        <v>-0.60999599999999998</v>
      </c>
      <c r="AA225" s="27">
        <f t="shared" ref="AA225" si="311">AA$165+$A224</f>
        <v>-0.56293400000000005</v>
      </c>
      <c r="AB225" s="27">
        <f t="shared" ref="AB225" si="312">AB$165+$A224</f>
        <v>-0.47178900000000001</v>
      </c>
      <c r="AC225" s="27">
        <f t="shared" ref="AC225" si="313">AC$165+$A224</f>
        <v>-0.34897500000000004</v>
      </c>
      <c r="AD225" s="27">
        <f t="shared" ref="AD225" si="314">AD$165+$A224</f>
        <v>-0.19624100000000005</v>
      </c>
      <c r="AE225" s="27">
        <f t="shared" ref="AE225" si="315">AE$165+$A224</f>
        <v>-4.8875000000000002E-2</v>
      </c>
      <c r="AF225" s="27">
        <f t="shared" ref="AF225" si="316">AF$165+$A224</f>
        <v>8.2844999999999946E-2</v>
      </c>
      <c r="AG225" s="27">
        <f t="shared" ref="AG225" si="317">AG$165+$A224</f>
        <v>0.18373899999999999</v>
      </c>
      <c r="AH225" s="27">
        <f t="shared" ref="AH225" si="318">AH$165+$A224</f>
        <v>0.22898099999999999</v>
      </c>
      <c r="AI225" s="27">
        <f t="shared" ref="AI225" si="319">AI$165+$A224</f>
        <v>0.264185</v>
      </c>
      <c r="AJ225" s="27">
        <f t="shared" ref="AJ225" si="320">AJ$165+$A224</f>
        <v>0.28177399999999997</v>
      </c>
      <c r="AK225" s="27">
        <f t="shared" ref="AK225" si="321">AK$165+$A224</f>
        <v>0.29594500000000001</v>
      </c>
      <c r="AL225" s="27">
        <f t="shared" ref="AL225" si="322">AL$165+$A224</f>
        <v>0.30364099999999994</v>
      </c>
    </row>
    <row r="226" spans="1:38" ht="12.75" thickBot="1">
      <c r="A226" s="62"/>
      <c r="B226" s="62"/>
      <c r="C226" s="63"/>
      <c r="D226" s="63"/>
      <c r="E226" s="63"/>
      <c r="F226" s="63"/>
      <c r="G226" s="63"/>
      <c r="J226" s="38"/>
      <c r="K226" s="4">
        <f t="shared" si="301"/>
        <v>0</v>
      </c>
      <c r="L226" s="56" t="s">
        <v>61</v>
      </c>
      <c r="M226" s="38">
        <f>IF(D224&gt;0,_xll.BDP(I224,"ASK")/100,(_xll.BDP(I224,"ASK")/100)+D224)</f>
        <v>3.3000000000014901E-3</v>
      </c>
      <c r="N226" s="49"/>
      <c r="O226" s="43"/>
      <c r="P226" s="53"/>
      <c r="Q226" s="29" t="str">
        <f>$H224&amp;$H$179&amp;"_"&amp;Q$172&amp;$P$172</f>
        <v>153C_147P</v>
      </c>
      <c r="R226" s="29" t="str">
        <f t="shared" ref="R226:AL226" si="323">$H224&amp;$H$179&amp;"_"&amp;R$172&amp;$P$172</f>
        <v>153C_147.5P</v>
      </c>
      <c r="S226" s="29" t="str">
        <f t="shared" si="323"/>
        <v>153C_148P</v>
      </c>
      <c r="T226" s="29" t="str">
        <f t="shared" si="323"/>
        <v>153C_148.5P</v>
      </c>
      <c r="U226" s="29" t="str">
        <f t="shared" si="323"/>
        <v>153C_149P</v>
      </c>
      <c r="V226" s="29" t="str">
        <f t="shared" si="323"/>
        <v>153C_149.5P</v>
      </c>
      <c r="W226" s="29" t="str">
        <f t="shared" si="323"/>
        <v>153C_150P</v>
      </c>
      <c r="X226" s="29" t="str">
        <f t="shared" si="323"/>
        <v>153C_150.5P</v>
      </c>
      <c r="Y226" s="29" t="str">
        <f t="shared" si="323"/>
        <v>153C_151P</v>
      </c>
      <c r="Z226" s="29" t="str">
        <f t="shared" si="323"/>
        <v>153C_151.5P</v>
      </c>
      <c r="AA226" s="29" t="str">
        <f t="shared" si="323"/>
        <v>153C_152P</v>
      </c>
      <c r="AB226" s="29" t="str">
        <f t="shared" si="323"/>
        <v>153C_152.5P</v>
      </c>
      <c r="AC226" s="29" t="str">
        <f t="shared" si="323"/>
        <v>153C_153P</v>
      </c>
      <c r="AD226" s="29" t="str">
        <f t="shared" si="323"/>
        <v>153C_153.5P</v>
      </c>
      <c r="AE226" s="29" t="str">
        <f t="shared" si="323"/>
        <v>153C_154P</v>
      </c>
      <c r="AF226" s="29" t="str">
        <f t="shared" si="323"/>
        <v>153C_154.5P</v>
      </c>
      <c r="AG226" s="29" t="str">
        <f t="shared" si="323"/>
        <v>153C_155P</v>
      </c>
      <c r="AH226" s="29" t="str">
        <f t="shared" si="323"/>
        <v>153C_155.5P</v>
      </c>
      <c r="AI226" s="29" t="str">
        <f t="shared" si="323"/>
        <v>153C_156P</v>
      </c>
      <c r="AJ226" s="29" t="str">
        <f t="shared" si="323"/>
        <v>153C_156.5P</v>
      </c>
      <c r="AK226" s="29" t="str">
        <f t="shared" si="323"/>
        <v>153C_157P</v>
      </c>
      <c r="AL226" s="29" t="str">
        <f t="shared" si="323"/>
        <v>153C_157.5P</v>
      </c>
    </row>
    <row r="227" spans="1:38" ht="12.75" thickTop="1">
      <c r="A227" s="62"/>
      <c r="B227" s="62"/>
      <c r="C227" s="63"/>
      <c r="D227" s="63"/>
      <c r="E227" s="63"/>
      <c r="F227" s="63"/>
      <c r="G227" s="63"/>
      <c r="J227" s="38"/>
      <c r="K227" s="4">
        <f t="shared" si="301"/>
        <v>0</v>
      </c>
      <c r="M227" s="38"/>
      <c r="N227" s="49"/>
      <c r="O227" s="43"/>
      <c r="P227" s="53"/>
      <c r="Q227" s="64"/>
      <c r="R227" s="64"/>
      <c r="S227" s="64"/>
      <c r="T227" s="64"/>
      <c r="U227" s="64"/>
      <c r="V227" s="64"/>
      <c r="W227" s="64"/>
      <c r="X227" s="64"/>
      <c r="Y227" s="64"/>
      <c r="Z227" s="64"/>
      <c r="AA227" s="64"/>
      <c r="AB227" s="64"/>
      <c r="AC227" s="64"/>
      <c r="AD227" s="64"/>
      <c r="AE227" s="64"/>
      <c r="AF227" s="64"/>
      <c r="AG227" s="64"/>
      <c r="AH227" s="64"/>
      <c r="AI227" s="64"/>
      <c r="AJ227" s="64"/>
      <c r="AK227" s="64"/>
      <c r="AL227" s="64"/>
    </row>
    <row r="228" spans="1:38">
      <c r="A228" s="62">
        <f>_xll.BDP($I228, A$179)/-1</f>
        <v>-0.79681500000000005</v>
      </c>
      <c r="B228" s="62">
        <f>_xll.BDP($I228, B$179)/100</f>
        <v>8.5124340000000007E-2</v>
      </c>
      <c r="C228" s="63">
        <f ca="1">B228*(MIN(SQRT(1/365),(SQRT(($B$174/365)))))</f>
        <v>4.4556115950703037E-3</v>
      </c>
      <c r="D228" s="63">
        <f>(H228-$B$164)/100</f>
        <v>-1.0699999999998796E-2</v>
      </c>
      <c r="E228" s="63">
        <f ca="1">ABS(D228/$E$173)</f>
        <v>1.4713427678289668</v>
      </c>
      <c r="F228" s="63">
        <f ca="1">1-_xlfn.NORM.S.DIST(E228,1)</f>
        <v>7.0599221370910792E-2</v>
      </c>
      <c r="G228" s="63">
        <f ca="1">IF(D228&gt;0,0,0.25*$B$176)</f>
        <v>2.6559039438231819E-5</v>
      </c>
      <c r="H228" s="4">
        <v>152.50000000000011</v>
      </c>
      <c r="I228" t="str">
        <f>($I$179&amp;" "&amp;H228&amp;" COMB Curncy")</f>
        <v>3BV5C 152.5 COMB Curncy</v>
      </c>
      <c r="J228" s="38">
        <f ca="1">-1*CGBlackScholes("t","c",B$164,H228,$B$174/365,$B$166,$B$165,B228)/100</f>
        <v>3.6234959547794753E-4</v>
      </c>
      <c r="K228" s="4">
        <f ca="1">J228*P228</f>
        <v>0</v>
      </c>
      <c r="L228" s="56">
        <f ca="1">CGBlackScholes("g","c",B$164,H228,$B$174/365,$B$166,$B$165,B228)</f>
        <v>0.15496653766546012</v>
      </c>
      <c r="M228" s="38">
        <f ca="1">((M229+M230)/2)/$B$174</f>
        <v>1.4164821033734294E-4</v>
      </c>
      <c r="N228" s="49">
        <f ca="1">(MIN($J228,$M228) - $B$172*$B$173/10000*$F228)*10000</f>
        <v>-7.0554244611358659</v>
      </c>
      <c r="O228" s="43" t="str">
        <f>ROUND((($M230*10000)+$B$173),0)&amp;" ticks"</f>
        <v>34 ticks</v>
      </c>
      <c r="P228" s="53">
        <f>SUM(Q227:AL227)</f>
        <v>0</v>
      </c>
      <c r="Q228" s="27" t="e">
        <f ca="1">(MIN(($J228+Q$174),($M228+Q$179))- $B$176 - (($B$172*$B$176)*MAX($F228,Q$170))-($G228+Q$171))* 10000</f>
        <v>#VALUE!</v>
      </c>
      <c r="R228" s="27" t="e">
        <f t="shared" ref="R228:AL228" ca="1" si="324">(MIN(($J228+R$174),($M228+R$179))- $B$176 - (($B$172*$B$176)*MAX($F228,R$170))-($G228+R$171))* 10000</f>
        <v>#VALUE!</v>
      </c>
      <c r="S228" s="27" t="e">
        <f t="shared" ca="1" si="324"/>
        <v>#VALUE!</v>
      </c>
      <c r="T228" s="27" t="e">
        <f t="shared" ca="1" si="324"/>
        <v>#VALUE!</v>
      </c>
      <c r="U228" s="27" t="e">
        <f t="shared" ca="1" si="324"/>
        <v>#VALUE!</v>
      </c>
      <c r="V228" s="27" t="e">
        <f t="shared" ca="1" si="324"/>
        <v>#VALUE!</v>
      </c>
      <c r="W228" s="27" t="e">
        <f t="shared" ca="1" si="324"/>
        <v>#VALUE!</v>
      </c>
      <c r="X228" s="27" t="e">
        <f t="shared" ca="1" si="324"/>
        <v>#VALUE!</v>
      </c>
      <c r="Y228" s="27">
        <f t="shared" ca="1" si="324"/>
        <v>-0.48442860749600741</v>
      </c>
      <c r="Z228" s="27">
        <f t="shared" ca="1" si="324"/>
        <v>-0.30736834457446188</v>
      </c>
      <c r="AA228" s="27">
        <f t="shared" ca="1" si="324"/>
        <v>-4.1777950192143753E-2</v>
      </c>
      <c r="AB228" s="27">
        <f t="shared" ca="1" si="324"/>
        <v>0.62219803576365207</v>
      </c>
      <c r="AC228" s="27">
        <f t="shared" ca="1" si="324"/>
        <v>0.1779925815593533</v>
      </c>
      <c r="AD228" s="27">
        <f t="shared" ca="1" si="324"/>
        <v>-0.69930234634257449</v>
      </c>
      <c r="AE228" s="27">
        <f t="shared" ca="1" si="324"/>
        <v>-0.24431457049311486</v>
      </c>
      <c r="AF228" s="27">
        <f t="shared" ca="1" si="324"/>
        <v>0.30477362598733937</v>
      </c>
      <c r="AG228" s="27">
        <f t="shared" ca="1" si="324"/>
        <v>2.4871155366728718E-3</v>
      </c>
      <c r="AH228" s="27">
        <f t="shared" ca="1" si="324"/>
        <v>-0.44016354176744382</v>
      </c>
      <c r="AI228" s="27">
        <f t="shared" ca="1" si="324"/>
        <v>-0.66148887041937443</v>
      </c>
      <c r="AJ228" s="27">
        <f t="shared" ca="1" si="324"/>
        <v>-0.75001900188039994</v>
      </c>
      <c r="AK228" s="27">
        <f t="shared" ca="1" si="324"/>
        <v>-0.83854913334117231</v>
      </c>
      <c r="AL228" s="27">
        <f t="shared" ca="1" si="324"/>
        <v>-0.88281419907155978</v>
      </c>
    </row>
    <row r="229" spans="1:38">
      <c r="A229" s="62"/>
      <c r="B229" s="62"/>
      <c r="C229" s="63"/>
      <c r="D229" s="63"/>
      <c r="E229" s="63"/>
      <c r="F229" s="63"/>
      <c r="G229" s="63"/>
      <c r="J229" s="38"/>
      <c r="K229" s="4">
        <f t="shared" ref="K229:K231" si="325">J229*P229</f>
        <v>0</v>
      </c>
      <c r="L229" s="56" t="s">
        <v>60</v>
      </c>
      <c r="M229" s="38">
        <f>IF(D228&gt;0,_xll.BDP(I228,"BID")/100,(_xll.BDP(I228,"BID")/100)+D228)</f>
        <v>1.0000000000012031E-3</v>
      </c>
      <c r="N229" s="49"/>
      <c r="O229" s="43"/>
      <c r="P229" s="53"/>
      <c r="Q229" s="27">
        <f>Q$165+$A228</f>
        <v>-0.78679500000000002</v>
      </c>
      <c r="R229" s="27">
        <f t="shared" ref="R229" si="326">R$165+$A228</f>
        <v>-0.78612400000000004</v>
      </c>
      <c r="S229" s="27">
        <f t="shared" ref="S229" si="327">S$165+$A228</f>
        <v>-0.78533400000000009</v>
      </c>
      <c r="T229" s="27">
        <f t="shared" ref="T229" si="328">T$165+$A228</f>
        <v>-0.784497</v>
      </c>
      <c r="U229" s="27">
        <f t="shared" ref="U229" si="329">U$165+$A228</f>
        <v>-0.78359500000000004</v>
      </c>
      <c r="V229" s="27">
        <f t="shared" ref="V229" si="330">V$165+$A228</f>
        <v>-0.782362</v>
      </c>
      <c r="W229" s="27">
        <f t="shared" ref="W229" si="331">W$165+$A228</f>
        <v>-0.76985000000000003</v>
      </c>
      <c r="X229" s="27">
        <f t="shared" ref="X229" si="332">X$165+$A228</f>
        <v>-0.76686100000000001</v>
      </c>
      <c r="Y229" s="27">
        <f t="shared" ref="Y229" si="333">Y$165+$A228</f>
        <v>-0.77646000000000004</v>
      </c>
      <c r="Z229" s="27">
        <f t="shared" ref="Z229" si="334">Z$165+$A228</f>
        <v>-0.73149100000000011</v>
      </c>
      <c r="AA229" s="27">
        <f t="shared" ref="AA229" si="335">AA$165+$A228</f>
        <v>-0.68442900000000007</v>
      </c>
      <c r="AB229" s="27">
        <f t="shared" ref="AB229" si="336">AB$165+$A228</f>
        <v>-0.59328400000000003</v>
      </c>
      <c r="AC229" s="27">
        <f t="shared" ref="AC229" si="337">AC$165+$A228</f>
        <v>-0.47047000000000005</v>
      </c>
      <c r="AD229" s="27">
        <f t="shared" ref="AD229" si="338">AD$165+$A228</f>
        <v>-0.31773600000000007</v>
      </c>
      <c r="AE229" s="27">
        <f t="shared" ref="AE229" si="339">AE$165+$A228</f>
        <v>-0.17037000000000002</v>
      </c>
      <c r="AF229" s="27">
        <f t="shared" ref="AF229" si="340">AF$165+$A228</f>
        <v>-3.8650000000000073E-2</v>
      </c>
      <c r="AG229" s="27">
        <f t="shared" ref="AG229" si="341">AG$165+$A228</f>
        <v>6.2243999999999966E-2</v>
      </c>
      <c r="AH229" s="27">
        <f t="shared" ref="AH229" si="342">AH$165+$A228</f>
        <v>0.10748599999999997</v>
      </c>
      <c r="AI229" s="27">
        <f t="shared" ref="AI229" si="343">AI$165+$A228</f>
        <v>0.14268999999999998</v>
      </c>
      <c r="AJ229" s="27">
        <f t="shared" ref="AJ229" si="344">AJ$165+$A228</f>
        <v>0.16027899999999995</v>
      </c>
      <c r="AK229" s="27">
        <f t="shared" ref="AK229" si="345">AK$165+$A228</f>
        <v>0.17444999999999999</v>
      </c>
      <c r="AL229" s="27">
        <f t="shared" ref="AL229" si="346">AL$165+$A228</f>
        <v>0.18214599999999992</v>
      </c>
    </row>
    <row r="230" spans="1:38" ht="12.75" thickBot="1">
      <c r="A230" s="62"/>
      <c r="B230" s="62"/>
      <c r="C230" s="63"/>
      <c r="D230" s="63"/>
      <c r="E230" s="63"/>
      <c r="F230" s="63"/>
      <c r="G230" s="63"/>
      <c r="J230" s="38"/>
      <c r="K230" s="4">
        <f t="shared" si="325"/>
        <v>0</v>
      </c>
      <c r="L230" s="56" t="s">
        <v>61</v>
      </c>
      <c r="M230" s="38">
        <f>IF(D228&gt;0,_xll.BDP(I228,"ASK")/100,(_xll.BDP(I228,"ASK")/100)+D228)</f>
        <v>2.2000000000012045E-3</v>
      </c>
      <c r="N230" s="49"/>
      <c r="O230" s="43"/>
      <c r="P230" s="53"/>
      <c r="Q230" s="29" t="str">
        <f>$H228&amp;$H$179&amp;"_"&amp;Q$172&amp;$P$172</f>
        <v>152.5C_147P</v>
      </c>
      <c r="R230" s="29" t="str">
        <f t="shared" ref="R230:AL230" si="347">$H228&amp;$H$179&amp;"_"&amp;R$172&amp;$P$172</f>
        <v>152.5C_147.5P</v>
      </c>
      <c r="S230" s="29" t="str">
        <f t="shared" si="347"/>
        <v>152.5C_148P</v>
      </c>
      <c r="T230" s="29" t="str">
        <f t="shared" si="347"/>
        <v>152.5C_148.5P</v>
      </c>
      <c r="U230" s="29" t="str">
        <f t="shared" si="347"/>
        <v>152.5C_149P</v>
      </c>
      <c r="V230" s="29" t="str">
        <f t="shared" si="347"/>
        <v>152.5C_149.5P</v>
      </c>
      <c r="W230" s="29" t="str">
        <f t="shared" si="347"/>
        <v>152.5C_150P</v>
      </c>
      <c r="X230" s="29" t="str">
        <f t="shared" si="347"/>
        <v>152.5C_150.5P</v>
      </c>
      <c r="Y230" s="29" t="str">
        <f t="shared" si="347"/>
        <v>152.5C_151P</v>
      </c>
      <c r="Z230" s="29" t="str">
        <f t="shared" si="347"/>
        <v>152.5C_151.5P</v>
      </c>
      <c r="AA230" s="29" t="str">
        <f t="shared" si="347"/>
        <v>152.5C_152P</v>
      </c>
      <c r="AB230" s="29" t="str">
        <f t="shared" si="347"/>
        <v>152.5C_152.5P</v>
      </c>
      <c r="AC230" s="29" t="str">
        <f t="shared" si="347"/>
        <v>152.5C_153P</v>
      </c>
      <c r="AD230" s="29" t="str">
        <f t="shared" si="347"/>
        <v>152.5C_153.5P</v>
      </c>
      <c r="AE230" s="29" t="str">
        <f t="shared" si="347"/>
        <v>152.5C_154P</v>
      </c>
      <c r="AF230" s="29" t="str">
        <f t="shared" si="347"/>
        <v>152.5C_154.5P</v>
      </c>
      <c r="AG230" s="29" t="str">
        <f t="shared" si="347"/>
        <v>152.5C_155P</v>
      </c>
      <c r="AH230" s="29" t="str">
        <f t="shared" si="347"/>
        <v>152.5C_155.5P</v>
      </c>
      <c r="AI230" s="29" t="str">
        <f t="shared" si="347"/>
        <v>152.5C_156P</v>
      </c>
      <c r="AJ230" s="29" t="str">
        <f t="shared" si="347"/>
        <v>152.5C_156.5P</v>
      </c>
      <c r="AK230" s="29" t="str">
        <f t="shared" si="347"/>
        <v>152.5C_157P</v>
      </c>
      <c r="AL230" s="29" t="str">
        <f t="shared" si="347"/>
        <v>152.5C_157.5P</v>
      </c>
    </row>
    <row r="231" spans="1:38" ht="12.75" thickTop="1">
      <c r="A231" s="62"/>
      <c r="B231" s="62"/>
      <c r="C231" s="63"/>
      <c r="D231" s="63"/>
      <c r="E231" s="63"/>
      <c r="F231" s="63"/>
      <c r="G231" s="63"/>
      <c r="J231" s="38"/>
      <c r="K231" s="4">
        <f t="shared" si="325"/>
        <v>0</v>
      </c>
      <c r="M231" s="38"/>
      <c r="N231" s="49"/>
      <c r="O231" s="43"/>
      <c r="P231" s="53"/>
      <c r="Q231" s="64"/>
      <c r="R231" s="64"/>
      <c r="S231" s="64"/>
      <c r="T231" s="64"/>
      <c r="U231" s="64"/>
      <c r="V231" s="64"/>
      <c r="W231" s="64"/>
      <c r="X231" s="64"/>
      <c r="Y231" s="64"/>
      <c r="Z231" s="64"/>
      <c r="AA231" s="64"/>
      <c r="AB231" s="64"/>
      <c r="AC231" s="64"/>
      <c r="AD231" s="64"/>
      <c r="AE231" s="64"/>
      <c r="AF231" s="64"/>
      <c r="AG231" s="64"/>
      <c r="AH231" s="64"/>
      <c r="AI231" s="64"/>
      <c r="AJ231" s="64"/>
      <c r="AK231" s="64"/>
      <c r="AL231" s="64"/>
    </row>
    <row r="232" spans="1:38">
      <c r="A232" s="62">
        <f>_xll.BDP($I232, A$179)/-1</f>
        <v>-0.88027599999999995</v>
      </c>
      <c r="B232" s="62">
        <f>_xll.BDP($I232, B$179)/100</f>
        <v>8.7917769999999992E-2</v>
      </c>
      <c r="C232" s="63">
        <f ca="1">B232*(MIN(SQRT(1/365),(SQRT(($B$174/365)))))</f>
        <v>4.601826403878421E-3</v>
      </c>
      <c r="D232" s="63">
        <f>(H232-$B$164)/100</f>
        <v>-1.5699999999998795E-2</v>
      </c>
      <c r="E232" s="63">
        <f ca="1">ABS(D232/$E$173)</f>
        <v>2.1588861172818321</v>
      </c>
      <c r="F232" s="63">
        <f ca="1">1-_xlfn.NORM.S.DIST(E232,1)</f>
        <v>1.5429501581688099E-2</v>
      </c>
      <c r="G232" s="63">
        <f ca="1">IF(D232&gt;0,0,0.25*$B$176)</f>
        <v>2.6559039438231819E-5</v>
      </c>
      <c r="H232" s="4">
        <v>152.00000000000011</v>
      </c>
      <c r="I232" t="str">
        <f>($I$179&amp;" "&amp;H232&amp;" COMB Curncy")</f>
        <v>3BV5C 152 COMB Curncy</v>
      </c>
      <c r="J232" s="38">
        <f ca="1">-1*CGBlackScholes("t","c",B$164,H232,$B$174/365,$B$166,$B$165,B232)/100</f>
        <v>3.3399406163133908E-4</v>
      </c>
      <c r="K232" s="4">
        <f ca="1">J232*P232</f>
        <v>0</v>
      </c>
      <c r="L232" s="56">
        <f ca="1">CGBlackScholes("g","c",B$164,H232,$B$174/365,$B$166,$B$165,B232)</f>
        <v>0.13396204074616447</v>
      </c>
      <c r="M232" s="38">
        <f ca="1">((M233+M234)/2)/$B$174</f>
        <v>7.9677118314802172E-5</v>
      </c>
      <c r="N232" s="49">
        <f ca="1">(MIN($J232,$M232) - $B$172*$B$173/10000*$F232)*10000</f>
        <v>-1.0547690066545501</v>
      </c>
      <c r="O232" s="43" t="str">
        <f>ROUND((($M234*10000)+$B$173),0)&amp;" ticks"</f>
        <v>28 ticks</v>
      </c>
      <c r="P232" s="53">
        <f>SUM(Q231:AL231)</f>
        <v>0</v>
      </c>
      <c r="Q232" s="27" t="e">
        <f ca="1">(MIN(($J232+Q$174),($M232+Q$179))- $B$176 - (($B$172*$B$176)*MAX($F232,Q$170))-($G232+Q$171))* 10000</f>
        <v>#VALUE!</v>
      </c>
      <c r="R232" s="27" t="e">
        <f t="shared" ref="R232:AL232" ca="1" si="348">(MIN(($J232+R$174),($M232+R$179))- $B$176 - (($B$172*$B$176)*MAX($F232,R$170))-($G232+R$171))* 10000</f>
        <v>#VALUE!</v>
      </c>
      <c r="S232" s="27" t="e">
        <f t="shared" ca="1" si="348"/>
        <v>#VALUE!</v>
      </c>
      <c r="T232" s="27" t="e">
        <f t="shared" ca="1" si="348"/>
        <v>#VALUE!</v>
      </c>
      <c r="U232" s="27" t="e">
        <f t="shared" ca="1" si="348"/>
        <v>#VALUE!</v>
      </c>
      <c r="V232" s="27" t="e">
        <f t="shared" ca="1" si="348"/>
        <v>#VALUE!</v>
      </c>
      <c r="W232" s="27" t="e">
        <f t="shared" ca="1" si="348"/>
        <v>#VALUE!</v>
      </c>
      <c r="X232" s="27" t="e">
        <f t="shared" ca="1" si="348"/>
        <v>#VALUE!</v>
      </c>
      <c r="Y232" s="27">
        <f t="shared" ca="1" si="348"/>
        <v>-0.5180376222501496</v>
      </c>
      <c r="Z232" s="27">
        <f t="shared" ca="1" si="348"/>
        <v>-0.34097735932860412</v>
      </c>
      <c r="AA232" s="27">
        <f t="shared" ca="1" si="348"/>
        <v>-7.5386964946285953E-2</v>
      </c>
      <c r="AB232" s="27">
        <f t="shared" ca="1" si="348"/>
        <v>2.4871155382437792E-3</v>
      </c>
      <c r="AC232" s="27">
        <f t="shared" ca="1" si="348"/>
        <v>-0.44171833866605426</v>
      </c>
      <c r="AD232" s="27">
        <f t="shared" ca="1" si="348"/>
        <v>-1.3190132665679826</v>
      </c>
      <c r="AE232" s="27">
        <f t="shared" ca="1" si="348"/>
        <v>-0.86402549071852242</v>
      </c>
      <c r="AF232" s="27">
        <f t="shared" ca="1" si="348"/>
        <v>-0.31493729423806821</v>
      </c>
      <c r="AG232" s="27">
        <f t="shared" ca="1" si="348"/>
        <v>-0.12884016781903776</v>
      </c>
      <c r="AH232" s="27">
        <f t="shared" ca="1" si="348"/>
        <v>-0.47377255652158601</v>
      </c>
      <c r="AI232" s="27">
        <f t="shared" ca="1" si="348"/>
        <v>-0.69509788517351645</v>
      </c>
      <c r="AJ232" s="27">
        <f t="shared" ca="1" si="348"/>
        <v>-0.78362801663454196</v>
      </c>
      <c r="AK232" s="27">
        <f t="shared" ca="1" si="348"/>
        <v>-0.87215814809531422</v>
      </c>
      <c r="AL232" s="27">
        <f t="shared" ca="1" si="348"/>
        <v>-0.91642321382570202</v>
      </c>
    </row>
    <row r="233" spans="1:38">
      <c r="A233" s="62"/>
      <c r="B233" s="62"/>
      <c r="C233" s="63"/>
      <c r="D233" s="63"/>
      <c r="E233" s="63"/>
      <c r="F233" s="63"/>
      <c r="G233" s="63"/>
      <c r="J233" s="38"/>
      <c r="K233" s="4">
        <f t="shared" ref="K233:K235" si="349">J233*P233</f>
        <v>0</v>
      </c>
      <c r="L233" s="56" t="s">
        <v>60</v>
      </c>
      <c r="M233" s="38">
        <f>IF(D232&gt;0,_xll.BDP(I232,"BID")/100,(_xll.BDP(I232,"BID")/100)+D232)</f>
        <v>2.0000000000120616E-4</v>
      </c>
      <c r="N233" s="49"/>
      <c r="O233" s="43"/>
      <c r="P233" s="53"/>
      <c r="Q233" s="27">
        <f>Q$165+$A232</f>
        <v>-0.87025599999999992</v>
      </c>
      <c r="R233" s="27">
        <f t="shared" ref="R233" si="350">R$165+$A232</f>
        <v>-0.86958499999999994</v>
      </c>
      <c r="S233" s="27">
        <f t="shared" ref="S233" si="351">S$165+$A232</f>
        <v>-0.86879499999999998</v>
      </c>
      <c r="T233" s="27">
        <f t="shared" ref="T233" si="352">T$165+$A232</f>
        <v>-0.8679579999999999</v>
      </c>
      <c r="U233" s="27">
        <f t="shared" ref="U233" si="353">U$165+$A232</f>
        <v>-0.86705599999999994</v>
      </c>
      <c r="V233" s="27">
        <f t="shared" ref="V233" si="354">V$165+$A232</f>
        <v>-0.8658229999999999</v>
      </c>
      <c r="W233" s="27">
        <f t="shared" ref="W233" si="355">W$165+$A232</f>
        <v>-0.85331099999999993</v>
      </c>
      <c r="X233" s="27">
        <f t="shared" ref="X233" si="356">X$165+$A232</f>
        <v>-0.85032199999999991</v>
      </c>
      <c r="Y233" s="27">
        <f t="shared" ref="Y233" si="357">Y$165+$A232</f>
        <v>-0.85992099999999994</v>
      </c>
      <c r="Z233" s="27">
        <f t="shared" ref="Z233" si="358">Z$165+$A232</f>
        <v>-0.8149519999999999</v>
      </c>
      <c r="AA233" s="27">
        <f t="shared" ref="AA233" si="359">AA$165+$A232</f>
        <v>-0.76788999999999996</v>
      </c>
      <c r="AB233" s="27">
        <f t="shared" ref="AB233" si="360">AB$165+$A232</f>
        <v>-0.67674499999999993</v>
      </c>
      <c r="AC233" s="27">
        <f t="shared" ref="AC233" si="361">AC$165+$A232</f>
        <v>-0.55393099999999995</v>
      </c>
      <c r="AD233" s="27">
        <f t="shared" ref="AD233" si="362">AD$165+$A232</f>
        <v>-0.40119699999999997</v>
      </c>
      <c r="AE233" s="27">
        <f t="shared" ref="AE233" si="363">AE$165+$A232</f>
        <v>-0.25383099999999992</v>
      </c>
      <c r="AF233" s="27">
        <f t="shared" ref="AF233" si="364">AF$165+$A232</f>
        <v>-0.12211099999999997</v>
      </c>
      <c r="AG233" s="27">
        <f t="shared" ref="AG233" si="365">AG$165+$A232</f>
        <v>-2.121699999999993E-2</v>
      </c>
      <c r="AH233" s="27">
        <f t="shared" ref="AH233" si="366">AH$165+$A232</f>
        <v>2.4025000000000074E-2</v>
      </c>
      <c r="AI233" s="27">
        <f t="shared" ref="AI233" si="367">AI$165+$A232</f>
        <v>5.9229000000000087E-2</v>
      </c>
      <c r="AJ233" s="27">
        <f t="shared" ref="AJ233" si="368">AJ$165+$A232</f>
        <v>7.6818000000000053E-2</v>
      </c>
      <c r="AK233" s="27">
        <f t="shared" ref="AK233" si="369">AK$165+$A232</f>
        <v>9.0989000000000098E-2</v>
      </c>
      <c r="AL233" s="27">
        <f t="shared" ref="AL233" si="370">AL$165+$A232</f>
        <v>9.8685000000000023E-2</v>
      </c>
    </row>
    <row r="234" spans="1:38" ht="12.75" thickBot="1">
      <c r="A234" s="62"/>
      <c r="B234" s="62"/>
      <c r="C234" s="63"/>
      <c r="D234" s="63"/>
      <c r="E234" s="63"/>
      <c r="F234" s="63"/>
      <c r="G234" s="63"/>
      <c r="J234" s="38"/>
      <c r="K234" s="4">
        <f t="shared" si="349"/>
        <v>0</v>
      </c>
      <c r="L234" s="56" t="s">
        <v>61</v>
      </c>
      <c r="M234" s="38">
        <f>IF(D232&gt;0,_xll.BDP(I232,"ASK")/100,(_xll.BDP(I232,"ASK")/100)+D232)</f>
        <v>1.6000000000012046E-3</v>
      </c>
      <c r="N234" s="49"/>
      <c r="O234" s="43"/>
      <c r="P234" s="53"/>
      <c r="Q234" s="29" t="str">
        <f>$H232&amp;$H$179&amp;"_"&amp;Q$172&amp;$P$172</f>
        <v>152C_147P</v>
      </c>
      <c r="R234" s="29" t="str">
        <f t="shared" ref="R234:AL234" si="371">$H232&amp;$H$179&amp;"_"&amp;R$172&amp;$P$172</f>
        <v>152C_147.5P</v>
      </c>
      <c r="S234" s="29" t="str">
        <f t="shared" si="371"/>
        <v>152C_148P</v>
      </c>
      <c r="T234" s="29" t="str">
        <f t="shared" si="371"/>
        <v>152C_148.5P</v>
      </c>
      <c r="U234" s="29" t="str">
        <f t="shared" si="371"/>
        <v>152C_149P</v>
      </c>
      <c r="V234" s="29" t="str">
        <f t="shared" si="371"/>
        <v>152C_149.5P</v>
      </c>
      <c r="W234" s="29" t="str">
        <f t="shared" si="371"/>
        <v>152C_150P</v>
      </c>
      <c r="X234" s="29" t="str">
        <f t="shared" si="371"/>
        <v>152C_150.5P</v>
      </c>
      <c r="Y234" s="29" t="str">
        <f t="shared" si="371"/>
        <v>152C_151P</v>
      </c>
      <c r="Z234" s="29" t="str">
        <f t="shared" si="371"/>
        <v>152C_151.5P</v>
      </c>
      <c r="AA234" s="29" t="str">
        <f t="shared" si="371"/>
        <v>152C_152P</v>
      </c>
      <c r="AB234" s="29" t="str">
        <f t="shared" si="371"/>
        <v>152C_152.5P</v>
      </c>
      <c r="AC234" s="29" t="str">
        <f t="shared" si="371"/>
        <v>152C_153P</v>
      </c>
      <c r="AD234" s="29" t="str">
        <f t="shared" si="371"/>
        <v>152C_153.5P</v>
      </c>
      <c r="AE234" s="29" t="str">
        <f t="shared" si="371"/>
        <v>152C_154P</v>
      </c>
      <c r="AF234" s="29" t="str">
        <f t="shared" si="371"/>
        <v>152C_154.5P</v>
      </c>
      <c r="AG234" s="29" t="str">
        <f t="shared" si="371"/>
        <v>152C_155P</v>
      </c>
      <c r="AH234" s="29" t="str">
        <f t="shared" si="371"/>
        <v>152C_155.5P</v>
      </c>
      <c r="AI234" s="29" t="str">
        <f t="shared" si="371"/>
        <v>152C_156P</v>
      </c>
      <c r="AJ234" s="29" t="str">
        <f t="shared" si="371"/>
        <v>152C_156.5P</v>
      </c>
      <c r="AK234" s="29" t="str">
        <f t="shared" si="371"/>
        <v>152C_157P</v>
      </c>
      <c r="AL234" s="29" t="str">
        <f t="shared" si="371"/>
        <v>152C_157.5P</v>
      </c>
    </row>
    <row r="235" spans="1:38" ht="12.75" thickTop="1">
      <c r="A235" s="62"/>
      <c r="B235" s="62"/>
      <c r="C235" s="63"/>
      <c r="D235" s="63"/>
      <c r="E235" s="63"/>
      <c r="F235" s="63"/>
      <c r="G235" s="63"/>
      <c r="J235" s="38"/>
      <c r="K235" s="4">
        <f t="shared" si="349"/>
        <v>0</v>
      </c>
      <c r="M235" s="38"/>
      <c r="N235" s="49"/>
      <c r="O235" s="43"/>
      <c r="P235" s="53"/>
      <c r="Q235" s="64"/>
      <c r="R235" s="64"/>
      <c r="S235" s="64"/>
      <c r="T235" s="64"/>
      <c r="U235" s="64"/>
      <c r="V235" s="64"/>
      <c r="W235" s="64"/>
      <c r="X235" s="64"/>
      <c r="Y235" s="64"/>
      <c r="Z235" s="64"/>
      <c r="AA235" s="64"/>
      <c r="AB235" s="64"/>
      <c r="AC235" s="64"/>
      <c r="AD235" s="64"/>
      <c r="AE235" s="64"/>
      <c r="AF235" s="64"/>
      <c r="AG235" s="64"/>
      <c r="AH235" s="64"/>
      <c r="AI235" s="64"/>
      <c r="AJ235" s="64"/>
      <c r="AK235" s="64"/>
      <c r="AL235" s="64"/>
    </row>
    <row r="236" spans="1:38">
      <c r="A236" s="62">
        <f>_xll.BDP($I236, A$179)/-1</f>
        <v>-0.93435900000000005</v>
      </c>
      <c r="B236" s="62">
        <f>_xll.BDP($I236, B$179)/100</f>
        <v>9.0300989999999998E-2</v>
      </c>
      <c r="C236" s="63">
        <f ca="1">B236*(MIN(SQRT(1/365),(SQRT(($B$174/365)))))</f>
        <v>4.7265698399579659E-3</v>
      </c>
      <c r="D236" s="63">
        <f>(H236-$B$164)/100</f>
        <v>-2.0699999999998796E-2</v>
      </c>
      <c r="E236" s="63">
        <f ca="1">ABS(D236/$E$173)</f>
        <v>2.8464294667346977</v>
      </c>
      <c r="F236" s="63">
        <f ca="1">1-_xlfn.NORM.S.DIST(E236,1)</f>
        <v>2.2106261259857707E-3</v>
      </c>
      <c r="G236" s="63">
        <f ca="1">IF(D236&gt;0,0,0.25*$B$176)</f>
        <v>2.6559039438231819E-5</v>
      </c>
      <c r="H236" s="4">
        <v>151.50000000000011</v>
      </c>
      <c r="I236" t="str">
        <f>($I$179&amp;" "&amp;H236&amp;" COMB Curncy")</f>
        <v>3BV5C 151.5 COMB Curncy</v>
      </c>
      <c r="J236" s="38">
        <f ca="1">-1*CGBlackScholes("t","c",B$164,H236,$B$174/365,$B$166,$B$165,B236)/100</f>
        <v>2.9632570479465445E-4</v>
      </c>
      <c r="K236" s="4">
        <f ca="1">J236*P236</f>
        <v>0</v>
      </c>
      <c r="L236" s="56">
        <f ca="1">CGBlackScholes("g","c",B$164,H236,$B$174/365,$B$166,$B$165,B236)</f>
        <v>0.11272764637801405</v>
      </c>
      <c r="M236" s="38">
        <f ca="1">((M237+M238)/2)/$B$174</f>
        <v>4.4265065730492837E-5</v>
      </c>
      <c r="N236" s="49">
        <f ca="1">(MIN($J236,$M236) - $B$172*$B$173/10000*$F236)*10000</f>
        <v>0.17737552218663588</v>
      </c>
      <c r="O236" s="43" t="str">
        <f>ROUND((($M238*10000)+$B$173),0)&amp;" ticks"</f>
        <v>24 ticks</v>
      </c>
      <c r="P236" s="53">
        <f>SUM(Q235:AL235)</f>
        <v>0</v>
      </c>
      <c r="Q236" s="27" t="e">
        <f ca="1">(MIN(($J236+Q$174),($M236+Q$179))- $B$176 - (($B$172*$B$176)*MAX($F236,Q$170))-($G236+Q$171))* 10000</f>
        <v>#VALUE!</v>
      </c>
      <c r="R236" s="27" t="e">
        <f t="shared" ref="R236:AL236" ca="1" si="372">(MIN(($J236+R$174),($M236+R$179))- $B$176 - (($B$172*$B$176)*MAX($F236,R$170))-($G236+R$171))* 10000</f>
        <v>#VALUE!</v>
      </c>
      <c r="S236" s="27" t="e">
        <f t="shared" ca="1" si="372"/>
        <v>#VALUE!</v>
      </c>
      <c r="T236" s="27" t="e">
        <f t="shared" ca="1" si="372"/>
        <v>#VALUE!</v>
      </c>
      <c r="U236" s="27" t="e">
        <f t="shared" ca="1" si="372"/>
        <v>#VALUE!</v>
      </c>
      <c r="V236" s="27" t="e">
        <f t="shared" ca="1" si="372"/>
        <v>#VALUE!</v>
      </c>
      <c r="W236" s="27" t="e">
        <f t="shared" ca="1" si="372"/>
        <v>#VALUE!</v>
      </c>
      <c r="X236" s="27" t="e">
        <f t="shared" ca="1" si="372"/>
        <v>#VALUE!</v>
      </c>
      <c r="Y236" s="27">
        <f t="shared" ca="1" si="372"/>
        <v>-0.73172589427041379</v>
      </c>
      <c r="Z236" s="27">
        <f t="shared" ca="1" si="372"/>
        <v>-0.55466563134886837</v>
      </c>
      <c r="AA236" s="27">
        <f t="shared" ca="1" si="372"/>
        <v>-0.42950749078937933</v>
      </c>
      <c r="AB236" s="27">
        <f t="shared" ca="1" si="372"/>
        <v>-0.3516334103048494</v>
      </c>
      <c r="AC236" s="27">
        <f t="shared" ca="1" si="372"/>
        <v>-0.79583886450914798</v>
      </c>
      <c r="AD236" s="27">
        <f t="shared" ca="1" si="372"/>
        <v>-1.6731337924110763</v>
      </c>
      <c r="AE236" s="27">
        <f t="shared" ca="1" si="372"/>
        <v>-1.2181460165616156</v>
      </c>
      <c r="AF236" s="27">
        <f t="shared" ca="1" si="372"/>
        <v>-0.66905782008116166</v>
      </c>
      <c r="AG236" s="27">
        <f t="shared" ca="1" si="372"/>
        <v>-0.48296069366213129</v>
      </c>
      <c r="AH236" s="27">
        <f t="shared" ca="1" si="372"/>
        <v>-0.70623849152021534</v>
      </c>
      <c r="AI236" s="27">
        <f t="shared" ca="1" si="372"/>
        <v>-0.90878615719378075</v>
      </c>
      <c r="AJ236" s="27">
        <f t="shared" ca="1" si="372"/>
        <v>-0.99731628865480626</v>
      </c>
      <c r="AK236" s="27">
        <f t="shared" ca="1" si="372"/>
        <v>-1.0858464201155784</v>
      </c>
      <c r="AL236" s="27">
        <f t="shared" ca="1" si="372"/>
        <v>-1.1301114858459662</v>
      </c>
    </row>
    <row r="237" spans="1:38">
      <c r="A237" s="62"/>
      <c r="B237" s="62"/>
      <c r="C237" s="63"/>
      <c r="D237" s="63"/>
      <c r="E237" s="63"/>
      <c r="F237" s="63"/>
      <c r="G237" s="63"/>
      <c r="J237" s="38"/>
      <c r="K237" s="4">
        <f t="shared" ref="K237:K239" si="373">J237*P237</f>
        <v>0</v>
      </c>
      <c r="L237" s="56" t="s">
        <v>60</v>
      </c>
      <c r="M237" s="38">
        <f>IF(D236&gt;0,_xll.BDP(I236,"BID")/100,(_xll.BDP(I236,"BID")/100)+D236)</f>
        <v>-1.9999999999879836E-4</v>
      </c>
      <c r="N237" s="49"/>
      <c r="O237" s="43"/>
      <c r="P237" s="53"/>
      <c r="Q237" s="27">
        <f>Q$165+$A236</f>
        <v>-0.92433900000000002</v>
      </c>
      <c r="R237" s="27">
        <f t="shared" ref="R237" si="374">R$165+$A236</f>
        <v>-0.92366800000000004</v>
      </c>
      <c r="S237" s="27">
        <f t="shared" ref="S237" si="375">S$165+$A236</f>
        <v>-0.92287800000000009</v>
      </c>
      <c r="T237" s="27">
        <f t="shared" ref="T237" si="376">T$165+$A236</f>
        <v>-0.922041</v>
      </c>
      <c r="U237" s="27">
        <f t="shared" ref="U237" si="377">U$165+$A236</f>
        <v>-0.92113900000000004</v>
      </c>
      <c r="V237" s="27">
        <f t="shared" ref="V237" si="378">V$165+$A236</f>
        <v>-0.919906</v>
      </c>
      <c r="W237" s="27">
        <f t="shared" ref="W237" si="379">W$165+$A236</f>
        <v>-0.90739400000000003</v>
      </c>
      <c r="X237" s="27">
        <f t="shared" ref="X237" si="380">X$165+$A236</f>
        <v>-0.90440500000000001</v>
      </c>
      <c r="Y237" s="27">
        <f t="shared" ref="Y237" si="381">Y$165+$A236</f>
        <v>-0.91400400000000004</v>
      </c>
      <c r="Z237" s="27">
        <f t="shared" ref="Z237" si="382">Z$165+$A236</f>
        <v>-0.869035</v>
      </c>
      <c r="AA237" s="27">
        <f t="shared" ref="AA237" si="383">AA$165+$A236</f>
        <v>-0.82197300000000006</v>
      </c>
      <c r="AB237" s="27">
        <f t="shared" ref="AB237" si="384">AB$165+$A236</f>
        <v>-0.73082800000000003</v>
      </c>
      <c r="AC237" s="27">
        <f t="shared" ref="AC237" si="385">AC$165+$A236</f>
        <v>-0.60801400000000005</v>
      </c>
      <c r="AD237" s="27">
        <f t="shared" ref="AD237" si="386">AD$165+$A236</f>
        <v>-0.45528000000000007</v>
      </c>
      <c r="AE237" s="27">
        <f t="shared" ref="AE237" si="387">AE$165+$A236</f>
        <v>-0.30791400000000002</v>
      </c>
      <c r="AF237" s="27">
        <f t="shared" ref="AF237" si="388">AF$165+$A236</f>
        <v>-0.17619400000000007</v>
      </c>
      <c r="AG237" s="27">
        <f t="shared" ref="AG237" si="389">AG$165+$A236</f>
        <v>-7.5300000000000034E-2</v>
      </c>
      <c r="AH237" s="27">
        <f t="shared" ref="AH237" si="390">AH$165+$A236</f>
        <v>-3.0058000000000029E-2</v>
      </c>
      <c r="AI237" s="27">
        <f t="shared" ref="AI237" si="391">AI$165+$A236</f>
        <v>5.1459999999999839E-3</v>
      </c>
      <c r="AJ237" s="27">
        <f t="shared" ref="AJ237" si="392">AJ$165+$A236</f>
        <v>2.273499999999995E-2</v>
      </c>
      <c r="AK237" s="27">
        <f t="shared" ref="AK237" si="393">AK$165+$A236</f>
        <v>3.6905999999999994E-2</v>
      </c>
      <c r="AL237" s="27">
        <f t="shared" ref="AL237" si="394">AL$165+$A236</f>
        <v>4.4601999999999919E-2</v>
      </c>
    </row>
    <row r="238" spans="1:38" ht="12.75" thickBot="1">
      <c r="A238" s="62"/>
      <c r="B238" s="62"/>
      <c r="C238" s="63"/>
      <c r="D238" s="63"/>
      <c r="E238" s="63"/>
      <c r="F238" s="63"/>
      <c r="G238" s="63"/>
      <c r="J238" s="38"/>
      <c r="K238" s="4">
        <f t="shared" si="373"/>
        <v>0</v>
      </c>
      <c r="L238" s="56" t="s">
        <v>61</v>
      </c>
      <c r="M238" s="38">
        <f>IF(D236&gt;0,_xll.BDP(I236,"ASK")/100,(_xll.BDP(I236,"ASK")/100)+D236)</f>
        <v>1.2000000000012036E-3</v>
      </c>
      <c r="N238" s="49"/>
      <c r="O238" s="43"/>
      <c r="P238" s="53"/>
      <c r="Q238" s="29" t="str">
        <f>$H236&amp;$H$179&amp;"_"&amp;Q$172&amp;$P$172</f>
        <v>151.5C_147P</v>
      </c>
      <c r="R238" s="29" t="str">
        <f t="shared" ref="R238:AL238" si="395">$H236&amp;$H$179&amp;"_"&amp;R$172&amp;$P$172</f>
        <v>151.5C_147.5P</v>
      </c>
      <c r="S238" s="29" t="str">
        <f t="shared" si="395"/>
        <v>151.5C_148P</v>
      </c>
      <c r="T238" s="29" t="str">
        <f t="shared" si="395"/>
        <v>151.5C_148.5P</v>
      </c>
      <c r="U238" s="29" t="str">
        <f t="shared" si="395"/>
        <v>151.5C_149P</v>
      </c>
      <c r="V238" s="29" t="str">
        <f t="shared" si="395"/>
        <v>151.5C_149.5P</v>
      </c>
      <c r="W238" s="29" t="str">
        <f t="shared" si="395"/>
        <v>151.5C_150P</v>
      </c>
      <c r="X238" s="29" t="str">
        <f t="shared" si="395"/>
        <v>151.5C_150.5P</v>
      </c>
      <c r="Y238" s="29" t="str">
        <f t="shared" si="395"/>
        <v>151.5C_151P</v>
      </c>
      <c r="Z238" s="29" t="str">
        <f t="shared" si="395"/>
        <v>151.5C_151.5P</v>
      </c>
      <c r="AA238" s="29" t="str">
        <f t="shared" si="395"/>
        <v>151.5C_152P</v>
      </c>
      <c r="AB238" s="29" t="str">
        <f t="shared" si="395"/>
        <v>151.5C_152.5P</v>
      </c>
      <c r="AC238" s="29" t="str">
        <f t="shared" si="395"/>
        <v>151.5C_153P</v>
      </c>
      <c r="AD238" s="29" t="str">
        <f t="shared" si="395"/>
        <v>151.5C_153.5P</v>
      </c>
      <c r="AE238" s="29" t="str">
        <f t="shared" si="395"/>
        <v>151.5C_154P</v>
      </c>
      <c r="AF238" s="29" t="str">
        <f t="shared" si="395"/>
        <v>151.5C_154.5P</v>
      </c>
      <c r="AG238" s="29" t="str">
        <f t="shared" si="395"/>
        <v>151.5C_155P</v>
      </c>
      <c r="AH238" s="29" t="str">
        <f t="shared" si="395"/>
        <v>151.5C_155.5P</v>
      </c>
      <c r="AI238" s="29" t="str">
        <f t="shared" si="395"/>
        <v>151.5C_156P</v>
      </c>
      <c r="AJ238" s="29" t="str">
        <f t="shared" si="395"/>
        <v>151.5C_156.5P</v>
      </c>
      <c r="AK238" s="29" t="str">
        <f t="shared" si="395"/>
        <v>151.5C_157P</v>
      </c>
      <c r="AL238" s="29" t="str">
        <f t="shared" si="395"/>
        <v>151.5C_157.5P</v>
      </c>
    </row>
    <row r="239" spans="1:38" ht="12.75" thickTop="1">
      <c r="A239" s="62"/>
      <c r="B239" s="62"/>
      <c r="C239" s="63"/>
      <c r="D239" s="63"/>
      <c r="E239" s="63"/>
      <c r="F239" s="63"/>
      <c r="G239" s="63"/>
      <c r="J239" s="38"/>
      <c r="K239" s="4">
        <f t="shared" si="373"/>
        <v>0</v>
      </c>
      <c r="M239" s="38"/>
      <c r="N239" s="49"/>
      <c r="O239" s="43"/>
      <c r="P239" s="53"/>
      <c r="Q239" s="64"/>
      <c r="R239" s="64"/>
      <c r="S239" s="64"/>
      <c r="T239" s="64"/>
      <c r="U239" s="64"/>
      <c r="V239" s="64"/>
      <c r="W239" s="64"/>
      <c r="X239" s="64"/>
      <c r="Y239" s="64"/>
      <c r="Z239" s="64"/>
      <c r="AA239" s="64"/>
      <c r="AB239" s="64"/>
      <c r="AC239" s="64"/>
      <c r="AD239" s="64"/>
      <c r="AE239" s="64"/>
      <c r="AF239" s="64"/>
      <c r="AG239" s="64"/>
      <c r="AH239" s="64"/>
      <c r="AI239" s="64"/>
      <c r="AJ239" s="64"/>
      <c r="AK239" s="64"/>
      <c r="AL239" s="64"/>
    </row>
    <row r="240" spans="1:38">
      <c r="A240" s="62">
        <f>_xll.BDP($I240, A$179)/-1</f>
        <v>-0.97915099999999999</v>
      </c>
      <c r="B240" s="62">
        <f>_xll.BDP($I240, B$179)/100</f>
        <v>8.2860920000000005E-2</v>
      </c>
      <c r="C240" s="63">
        <f ca="1">B240*(MIN(SQRT(1/365),(SQRT(($B$174/365)))))</f>
        <v>4.3371387775833891E-3</v>
      </c>
      <c r="D240" s="63">
        <f>(H240-$B$164)/100</f>
        <v>-2.5699999999999078E-2</v>
      </c>
      <c r="E240" s="63">
        <f ca="1">ABS(D240/$E$173)</f>
        <v>3.5339728161876023</v>
      </c>
      <c r="F240" s="63">
        <f ca="1">1-_xlfn.NORM.S.DIST(E240,1)</f>
        <v>2.0468158945086135E-4</v>
      </c>
      <c r="G240" s="63">
        <f ca="1">IF(D240&gt;0,0,0.25*$B$176)</f>
        <v>2.6559039438231819E-5</v>
      </c>
      <c r="H240" s="4">
        <v>151.00000000000009</v>
      </c>
      <c r="I240" t="str">
        <f>($I$179&amp;" "&amp;H240&amp;" COMB Curncy")</f>
        <v>3BV5C 151 COMB Curncy</v>
      </c>
      <c r="J240" s="38">
        <f ca="1">-1*CGBlackScholes("t","c",B$164,H240,$B$174/365,$B$166,$B$165,B240)/100</f>
        <v>1.9972706464127979E-4</v>
      </c>
      <c r="K240" s="4">
        <f ca="1">J240*P240</f>
        <v>0</v>
      </c>
      <c r="L240" s="56">
        <f ca="1">CGBlackScholes("g","c",B$164,H240,$B$174/365,$B$166,$B$165,B240)</f>
        <v>9.0376582550060452E-2</v>
      </c>
      <c r="M240" s="38">
        <f ca="1">((M241+M242)/2)/$B$174</f>
        <v>1.7706026292235986E-5</v>
      </c>
      <c r="N240" s="49">
        <f ca="1">(MIN($J240,$M240) - $B$172*$B$173/10000*$F240)*10000</f>
        <v>0.15249847218825652</v>
      </c>
      <c r="O240" s="43" t="str">
        <f>ROUND((($M242*10000)+$B$173),0)&amp;" ticks"</f>
        <v>22 ticks</v>
      </c>
      <c r="P240" s="53">
        <f>SUM(Q239:AL239)</f>
        <v>0</v>
      </c>
      <c r="Q240" s="27" t="e">
        <f ca="1">(MIN(($J240+Q$174),($M240+Q$179))- $B$176 - (($B$172*$B$176)*MAX($F240,Q$170))-($G240+Q$171))* 10000</f>
        <v>#VALUE!</v>
      </c>
      <c r="R240" s="27" t="e">
        <f t="shared" ref="R240:AL240" ca="1" si="396">(MIN(($J240+R$174),($M240+R$179))- $B$176 - (($B$172*$B$176)*MAX($F240,R$170))-($G240+R$171))* 10000</f>
        <v>#VALUE!</v>
      </c>
      <c r="S240" s="27" t="e">
        <f t="shared" ca="1" si="396"/>
        <v>#VALUE!</v>
      </c>
      <c r="T240" s="27" t="e">
        <f t="shared" ca="1" si="396"/>
        <v>#VALUE!</v>
      </c>
      <c r="U240" s="27" t="e">
        <f t="shared" ca="1" si="396"/>
        <v>#VALUE!</v>
      </c>
      <c r="V240" s="27" t="e">
        <f t="shared" ca="1" si="396"/>
        <v>#VALUE!</v>
      </c>
      <c r="W240" s="27" t="e">
        <f t="shared" ca="1" si="396"/>
        <v>#VALUE!</v>
      </c>
      <c r="X240" s="27" t="e">
        <f t="shared" ca="1" si="396"/>
        <v>#VALUE!</v>
      </c>
      <c r="Y240" s="27">
        <f t="shared" ca="1" si="396"/>
        <v>-0.97600590463028769</v>
      </c>
      <c r="Z240" s="27">
        <f t="shared" ca="1" si="396"/>
        <v>-0.82025602573143686</v>
      </c>
      <c r="AA240" s="27">
        <f t="shared" ca="1" si="396"/>
        <v>-0.69509788517194782</v>
      </c>
      <c r="AB240" s="27">
        <f t="shared" ca="1" si="396"/>
        <v>-0.617223804687418</v>
      </c>
      <c r="AC240" s="27">
        <f t="shared" ca="1" si="396"/>
        <v>-1.061429258891716</v>
      </c>
      <c r="AD240" s="27">
        <f t="shared" ca="1" si="396"/>
        <v>-1.9387241867936444</v>
      </c>
      <c r="AE240" s="27">
        <f t="shared" ca="1" si="396"/>
        <v>-1.4837364109441842</v>
      </c>
      <c r="AF240" s="27">
        <f t="shared" ca="1" si="396"/>
        <v>-0.93464821446373025</v>
      </c>
      <c r="AG240" s="27">
        <f t="shared" ca="1" si="396"/>
        <v>-0.74855108804469983</v>
      </c>
      <c r="AH240" s="27">
        <f t="shared" ca="1" si="396"/>
        <v>-0.97182888590278393</v>
      </c>
      <c r="AI240" s="27">
        <f t="shared" ca="1" si="396"/>
        <v>-1.155318507013809</v>
      </c>
      <c r="AJ240" s="27">
        <f t="shared" ca="1" si="396"/>
        <v>-1.2415962990146803</v>
      </c>
      <c r="AK240" s="27">
        <f t="shared" ca="1" si="396"/>
        <v>-1.3301264304754525</v>
      </c>
      <c r="AL240" s="27">
        <f t="shared" ca="1" si="396"/>
        <v>-1.3743914962058401</v>
      </c>
    </row>
    <row r="241" spans="1:38">
      <c r="A241" s="62"/>
      <c r="B241" s="62"/>
      <c r="C241" s="63"/>
      <c r="D241" s="63"/>
      <c r="E241" s="63"/>
      <c r="F241" s="63"/>
      <c r="G241" s="63"/>
      <c r="J241" s="38"/>
      <c r="K241" s="4">
        <f t="shared" ref="K241:K243" si="397">J241*P241</f>
        <v>0</v>
      </c>
      <c r="L241" s="56" t="s">
        <v>60</v>
      </c>
      <c r="M241" s="38">
        <f>IF(D240&gt;0,_xll.BDP(I240,"BID")/100,(_xll.BDP(I240,"BID")/100)+D240)</f>
        <v>-5.9999999999908044E-4</v>
      </c>
      <c r="N241" s="49"/>
      <c r="O241" s="43"/>
      <c r="P241" s="53"/>
      <c r="Q241" s="27">
        <f>Q$165+$A240</f>
        <v>-0.96913099999999996</v>
      </c>
      <c r="R241" s="27">
        <f t="shared" ref="R241" si="398">R$165+$A240</f>
        <v>-0.96845999999999999</v>
      </c>
      <c r="S241" s="27">
        <f t="shared" ref="S241" si="399">S$165+$A240</f>
        <v>-0.96767000000000003</v>
      </c>
      <c r="T241" s="27">
        <f t="shared" ref="T241" si="400">T$165+$A240</f>
        <v>-0.96683299999999994</v>
      </c>
      <c r="U241" s="27">
        <f t="shared" ref="U241" si="401">U$165+$A240</f>
        <v>-0.96593099999999998</v>
      </c>
      <c r="V241" s="27">
        <f t="shared" ref="V241" si="402">V$165+$A240</f>
        <v>-0.96469799999999994</v>
      </c>
      <c r="W241" s="27">
        <f t="shared" ref="W241" si="403">W$165+$A240</f>
        <v>-0.95218599999999998</v>
      </c>
      <c r="X241" s="27">
        <f t="shared" ref="X241" si="404">X$165+$A240</f>
        <v>-0.94919699999999996</v>
      </c>
      <c r="Y241" s="27">
        <f t="shared" ref="Y241" si="405">Y$165+$A240</f>
        <v>-0.95879599999999998</v>
      </c>
      <c r="Z241" s="27">
        <f t="shared" ref="Z241" si="406">Z$165+$A240</f>
        <v>-0.91382699999999994</v>
      </c>
      <c r="AA241" s="27">
        <f t="shared" ref="AA241" si="407">AA$165+$A240</f>
        <v>-0.86676500000000001</v>
      </c>
      <c r="AB241" s="27">
        <f t="shared" ref="AB241" si="408">AB$165+$A240</f>
        <v>-0.77561999999999998</v>
      </c>
      <c r="AC241" s="27">
        <f t="shared" ref="AC241" si="409">AC$165+$A240</f>
        <v>-0.652806</v>
      </c>
      <c r="AD241" s="27">
        <f t="shared" ref="AD241" si="410">AD$165+$A240</f>
        <v>-0.50007200000000007</v>
      </c>
      <c r="AE241" s="27">
        <f t="shared" ref="AE241" si="411">AE$165+$A240</f>
        <v>-0.35270599999999996</v>
      </c>
      <c r="AF241" s="27">
        <f t="shared" ref="AF241" si="412">AF$165+$A240</f>
        <v>-0.22098600000000002</v>
      </c>
      <c r="AG241" s="27">
        <f t="shared" ref="AG241" si="413">AG$165+$A240</f>
        <v>-0.12009199999999998</v>
      </c>
      <c r="AH241" s="27">
        <f t="shared" ref="AH241" si="414">AH$165+$A240</f>
        <v>-7.4849999999999972E-2</v>
      </c>
      <c r="AI241" s="27">
        <f t="shared" ref="AI241" si="415">AI$165+$A240</f>
        <v>-3.9645999999999959E-2</v>
      </c>
      <c r="AJ241" s="27">
        <f t="shared" ref="AJ241" si="416">AJ$165+$A240</f>
        <v>-2.2056999999999993E-2</v>
      </c>
      <c r="AK241" s="27">
        <f t="shared" ref="AK241" si="417">AK$165+$A240</f>
        <v>-7.8859999999999486E-3</v>
      </c>
      <c r="AL241" s="27">
        <f t="shared" ref="AL241" si="418">AL$165+$A240</f>
        <v>-1.9000000000002348E-4</v>
      </c>
    </row>
    <row r="242" spans="1:38" ht="12.75" thickBot="1">
      <c r="A242" s="62"/>
      <c r="B242" s="62"/>
      <c r="C242" s="63"/>
      <c r="D242" s="63"/>
      <c r="E242" s="63"/>
      <c r="F242" s="63"/>
      <c r="G242" s="63"/>
      <c r="J242" s="38"/>
      <c r="K242" s="4">
        <f t="shared" si="397"/>
        <v>0</v>
      </c>
      <c r="L242" s="56" t="s">
        <v>61</v>
      </c>
      <c r="M242" s="38">
        <f>IF(D240&gt;0,_xll.BDP(I240,"ASK")/100,(_xll.BDP(I240,"ASK")/100)+D240)</f>
        <v>1.0000000000009203E-3</v>
      </c>
      <c r="N242" s="49"/>
      <c r="O242" s="43"/>
      <c r="P242" s="53"/>
      <c r="Q242" s="29" t="str">
        <f>$H240&amp;$H$179&amp;"_"&amp;Q$172&amp;$P$172</f>
        <v>151C_147P</v>
      </c>
      <c r="R242" s="29" t="str">
        <f t="shared" ref="R242:AL242" si="419">$H240&amp;$H$179&amp;"_"&amp;R$172&amp;$P$172</f>
        <v>151C_147.5P</v>
      </c>
      <c r="S242" s="29" t="str">
        <f t="shared" si="419"/>
        <v>151C_148P</v>
      </c>
      <c r="T242" s="29" t="str">
        <f t="shared" si="419"/>
        <v>151C_148.5P</v>
      </c>
      <c r="U242" s="29" t="str">
        <f t="shared" si="419"/>
        <v>151C_149P</v>
      </c>
      <c r="V242" s="29" t="str">
        <f t="shared" si="419"/>
        <v>151C_149.5P</v>
      </c>
      <c r="W242" s="29" t="str">
        <f t="shared" si="419"/>
        <v>151C_150P</v>
      </c>
      <c r="X242" s="29" t="str">
        <f t="shared" si="419"/>
        <v>151C_150.5P</v>
      </c>
      <c r="Y242" s="29" t="str">
        <f t="shared" si="419"/>
        <v>151C_151P</v>
      </c>
      <c r="Z242" s="29" t="str">
        <f t="shared" si="419"/>
        <v>151C_151.5P</v>
      </c>
      <c r="AA242" s="29" t="str">
        <f t="shared" si="419"/>
        <v>151C_152P</v>
      </c>
      <c r="AB242" s="29" t="str">
        <f t="shared" si="419"/>
        <v>151C_152.5P</v>
      </c>
      <c r="AC242" s="29" t="str">
        <f t="shared" si="419"/>
        <v>151C_153P</v>
      </c>
      <c r="AD242" s="29" t="str">
        <f t="shared" si="419"/>
        <v>151C_153.5P</v>
      </c>
      <c r="AE242" s="29" t="str">
        <f t="shared" si="419"/>
        <v>151C_154P</v>
      </c>
      <c r="AF242" s="29" t="str">
        <f t="shared" si="419"/>
        <v>151C_154.5P</v>
      </c>
      <c r="AG242" s="29" t="str">
        <f t="shared" si="419"/>
        <v>151C_155P</v>
      </c>
      <c r="AH242" s="29" t="str">
        <f t="shared" si="419"/>
        <v>151C_155.5P</v>
      </c>
      <c r="AI242" s="29" t="str">
        <f t="shared" si="419"/>
        <v>151C_156P</v>
      </c>
      <c r="AJ242" s="29" t="str">
        <f t="shared" si="419"/>
        <v>151C_156.5P</v>
      </c>
      <c r="AK242" s="29" t="str">
        <f t="shared" si="419"/>
        <v>151C_157P</v>
      </c>
      <c r="AL242" s="29" t="str">
        <f t="shared" si="419"/>
        <v>151C_157.5P</v>
      </c>
    </row>
    <row r="243" spans="1:38" ht="12.75" thickTop="1">
      <c r="A243" s="62"/>
      <c r="B243" s="62"/>
      <c r="C243" s="63"/>
      <c r="D243" s="63"/>
      <c r="E243" s="63"/>
      <c r="F243" s="63"/>
      <c r="G243" s="63"/>
      <c r="J243" s="38"/>
      <c r="K243" s="4">
        <f t="shared" si="397"/>
        <v>0</v>
      </c>
      <c r="M243" s="38"/>
      <c r="N243" s="49"/>
      <c r="O243" s="43"/>
      <c r="P243" s="53"/>
      <c r="Q243" s="64"/>
      <c r="R243" s="64"/>
      <c r="S243" s="64"/>
      <c r="T243" s="64"/>
      <c r="U243" s="64"/>
      <c r="V243" s="64"/>
      <c r="W243" s="64"/>
      <c r="X243" s="64"/>
      <c r="Y243" s="64"/>
      <c r="Z243" s="64"/>
      <c r="AA243" s="64"/>
      <c r="AB243" s="64"/>
      <c r="AC243" s="64"/>
      <c r="AD243" s="64"/>
      <c r="AE243" s="64"/>
      <c r="AF243" s="64"/>
      <c r="AG243" s="64"/>
      <c r="AH243" s="64"/>
      <c r="AI243" s="64"/>
      <c r="AJ243" s="64"/>
      <c r="AK243" s="64"/>
      <c r="AL243" s="64"/>
    </row>
    <row r="244" spans="1:38">
      <c r="A244" s="62">
        <f>_xll.BDP($I244, A$179)/-1</f>
        <v>-0.999892</v>
      </c>
      <c r="B244" s="62">
        <f>_xll.BDP($I244, B$179)/100</f>
        <v>5.1582049999999997E-2</v>
      </c>
      <c r="C244" s="63">
        <f ca="1">B244*(MIN(SQRT(1/365),(SQRT(($B$174/365)))))</f>
        <v>2.699927894624453E-3</v>
      </c>
      <c r="D244" s="63">
        <f>(H244-$B$164)/100</f>
        <v>-3.0699999999999079E-2</v>
      </c>
      <c r="E244" s="63">
        <f ca="1">ABS(D244/$E$173)</f>
        <v>4.2215161656404678</v>
      </c>
      <c r="F244" s="63">
        <f ca="1">1-_xlfn.NORM.S.DIST(E244,1)</f>
        <v>1.2133227407562508E-5</v>
      </c>
      <c r="G244" s="63">
        <f ca="1">IF(D244&gt;0,0,0.25*$B$176)</f>
        <v>2.6559039438231819E-5</v>
      </c>
      <c r="H244" s="4">
        <v>150.50000000000009</v>
      </c>
      <c r="I244" t="str">
        <f>($I$179&amp;" "&amp;H244&amp;" COMB Curncy")</f>
        <v>3BV5C 150.5 COMB Curncy</v>
      </c>
      <c r="J244" s="38">
        <f ca="1">-1*CGBlackScholes("t","c",B$164,H244,$B$174/365,$B$166,$B$165,B244)/100</f>
        <v>1.9630598610815254E-5</v>
      </c>
      <c r="K244" s="4">
        <f ca="1">J244*P244</f>
        <v>0</v>
      </c>
      <c r="L244" s="56">
        <f ca="1">CGBlackScholes("g","c",B$164,H244,$B$174/365,$B$166,$B$165,B244)</f>
        <v>2.3817578147861937E-2</v>
      </c>
      <c r="M244" s="38">
        <f ca="1">((M245+M246)/2)/$B$174</f>
        <v>8.8530131461589218E-6</v>
      </c>
      <c r="N244" s="49">
        <f ca="1">(MIN($J244,$M244) - $B$172*$B$173/10000*$F244)*10000</f>
        <v>8.7074144172681708E-2</v>
      </c>
      <c r="O244" s="43" t="str">
        <f>ROUND((($M246*10000)+$B$173),0)&amp;" ticks"</f>
        <v>21 ticks</v>
      </c>
      <c r="P244" s="53">
        <f>SUM(Q243:AL243)</f>
        <v>0</v>
      </c>
      <c r="Q244" s="27" t="e">
        <f ca="1">(MIN(($J244+Q$174),($M244+Q$179))- $B$176 - (($B$172*$B$176)*MAX($F244,Q$170))-($G244+Q$171))* 10000</f>
        <v>#VALUE!</v>
      </c>
      <c r="R244" s="27" t="e">
        <f t="shared" ref="R244:AL244" ca="1" si="420">(MIN(($J244+R$174),($M244+R$179))- $B$176 - (($B$172*$B$176)*MAX($F244,R$170))-($G244+R$171))* 10000</f>
        <v>#VALUE!</v>
      </c>
      <c r="S244" s="27" t="e">
        <f t="shared" ca="1" si="420"/>
        <v>#VALUE!</v>
      </c>
      <c r="T244" s="27" t="e">
        <f t="shared" ca="1" si="420"/>
        <v>#VALUE!</v>
      </c>
      <c r="U244" s="27" t="e">
        <f t="shared" ca="1" si="420"/>
        <v>#VALUE!</v>
      </c>
      <c r="V244" s="27" t="e">
        <f t="shared" ca="1" si="420"/>
        <v>#VALUE!</v>
      </c>
      <c r="W244" s="27" t="e">
        <f t="shared" ca="1" si="420"/>
        <v>#VALUE!</v>
      </c>
      <c r="X244" s="27" t="e">
        <f t="shared" ca="1" si="420"/>
        <v>#VALUE!</v>
      </c>
      <c r="Y244" s="27">
        <f t="shared" ca="1" si="420"/>
        <v>-1.0645360360910583</v>
      </c>
      <c r="Z244" s="27">
        <f t="shared" ca="1" si="420"/>
        <v>-0.90878615719220734</v>
      </c>
      <c r="AA244" s="27">
        <f t="shared" ca="1" si="420"/>
        <v>-0.78362801663271853</v>
      </c>
      <c r="AB244" s="27">
        <f t="shared" ca="1" si="420"/>
        <v>-0.70575393614818849</v>
      </c>
      <c r="AC244" s="27">
        <f t="shared" ca="1" si="420"/>
        <v>-1.1499593903524867</v>
      </c>
      <c r="AD244" s="27">
        <f t="shared" ca="1" si="420"/>
        <v>-2.2071438535712633</v>
      </c>
      <c r="AE244" s="27">
        <f t="shared" ca="1" si="420"/>
        <v>-1.5722665424049549</v>
      </c>
      <c r="AF244" s="27">
        <f t="shared" ca="1" si="420"/>
        <v>-1.0231783459245007</v>
      </c>
      <c r="AG244" s="27">
        <f t="shared" ca="1" si="420"/>
        <v>-0.83708121950547043</v>
      </c>
      <c r="AH244" s="27">
        <f t="shared" ca="1" si="420"/>
        <v>-1.0603590173635544</v>
      </c>
      <c r="AI244" s="27">
        <f t="shared" ca="1" si="420"/>
        <v>-1.2438486384745799</v>
      </c>
      <c r="AJ244" s="27">
        <f t="shared" ca="1" si="420"/>
        <v>-1.3282495057071892</v>
      </c>
      <c r="AK244" s="27">
        <f t="shared" ca="1" si="420"/>
        <v>-1.4166110021197134</v>
      </c>
      <c r="AL244" s="27">
        <f t="shared" ca="1" si="420"/>
        <v>-1.4608760678501007</v>
      </c>
    </row>
    <row r="245" spans="1:38">
      <c r="A245" s="62"/>
      <c r="B245" s="62"/>
      <c r="C245" s="63"/>
      <c r="D245" s="63"/>
      <c r="E245" s="63"/>
      <c r="F245" s="63"/>
      <c r="G245" s="63"/>
      <c r="J245" s="38"/>
      <c r="K245" s="4">
        <f t="shared" ref="K245:K247" si="421">J245*P245</f>
        <v>0</v>
      </c>
      <c r="L245" s="56" t="s">
        <v>60</v>
      </c>
      <c r="M245" s="38">
        <f>IF(D244&gt;0,_xll.BDP(I244,"BID")/100,(_xll.BDP(I244,"BID")/100)+D244)</f>
        <v>-6.9999999999907983E-4</v>
      </c>
      <c r="N245" s="49"/>
      <c r="O245" s="43"/>
      <c r="P245" s="53"/>
      <c r="Q245" s="27">
        <f>Q$165+$A244</f>
        <v>-0.98987199999999997</v>
      </c>
      <c r="R245" s="27">
        <f t="shared" ref="R245" si="422">R$165+$A244</f>
        <v>-0.989201</v>
      </c>
      <c r="S245" s="27">
        <f t="shared" ref="S245" si="423">S$165+$A244</f>
        <v>-0.98841100000000004</v>
      </c>
      <c r="T245" s="27">
        <f t="shared" ref="T245" si="424">T$165+$A244</f>
        <v>-0.98757399999999995</v>
      </c>
      <c r="U245" s="27">
        <f t="shared" ref="U245" si="425">U$165+$A244</f>
        <v>-0.98667199999999999</v>
      </c>
      <c r="V245" s="27">
        <f t="shared" ref="V245" si="426">V$165+$A244</f>
        <v>-0.98543899999999995</v>
      </c>
      <c r="W245" s="27">
        <f t="shared" ref="W245" si="427">W$165+$A244</f>
        <v>-0.97292699999999999</v>
      </c>
      <c r="X245" s="27">
        <f t="shared" ref="X245" si="428">X$165+$A244</f>
        <v>-0.96993799999999997</v>
      </c>
      <c r="Y245" s="27">
        <f t="shared" ref="Y245" si="429">Y$165+$A244</f>
        <v>-0.97953699999999999</v>
      </c>
      <c r="Z245" s="27">
        <f t="shared" ref="Z245" si="430">Z$165+$A244</f>
        <v>-0.93456800000000007</v>
      </c>
      <c r="AA245" s="27">
        <f t="shared" ref="AA245" si="431">AA$165+$A244</f>
        <v>-0.88750600000000002</v>
      </c>
      <c r="AB245" s="27">
        <f t="shared" ref="AB245" si="432">AB$165+$A244</f>
        <v>-0.79636099999999999</v>
      </c>
      <c r="AC245" s="27">
        <f t="shared" ref="AC245" si="433">AC$165+$A244</f>
        <v>-0.67354700000000001</v>
      </c>
      <c r="AD245" s="27">
        <f t="shared" ref="AD245" si="434">AD$165+$A244</f>
        <v>-0.52081299999999997</v>
      </c>
      <c r="AE245" s="27">
        <f t="shared" ref="AE245" si="435">AE$165+$A244</f>
        <v>-0.37344699999999997</v>
      </c>
      <c r="AF245" s="27">
        <f t="shared" ref="AF245" si="436">AF$165+$A244</f>
        <v>-0.24172700000000003</v>
      </c>
      <c r="AG245" s="27">
        <f t="shared" ref="AG245" si="437">AG$165+$A244</f>
        <v>-0.14083299999999999</v>
      </c>
      <c r="AH245" s="27">
        <f t="shared" ref="AH245" si="438">AH$165+$A244</f>
        <v>-9.5590999999999982E-2</v>
      </c>
      <c r="AI245" s="27">
        <f t="shared" ref="AI245" si="439">AI$165+$A244</f>
        <v>-6.0386999999999968E-2</v>
      </c>
      <c r="AJ245" s="27">
        <f t="shared" ref="AJ245" si="440">AJ$165+$A244</f>
        <v>-4.2798000000000003E-2</v>
      </c>
      <c r="AK245" s="27">
        <f t="shared" ref="AK245" si="441">AK$165+$A244</f>
        <v>-2.8626999999999958E-2</v>
      </c>
      <c r="AL245" s="27">
        <f t="shared" ref="AL245" si="442">AL$165+$A244</f>
        <v>-2.0931000000000033E-2</v>
      </c>
    </row>
    <row r="246" spans="1:38" ht="12.75" thickBot="1">
      <c r="A246" s="62"/>
      <c r="B246" s="62"/>
      <c r="C246" s="63"/>
      <c r="D246" s="63"/>
      <c r="E246" s="63"/>
      <c r="F246" s="63"/>
      <c r="G246" s="63"/>
      <c r="J246" s="38"/>
      <c r="K246" s="4">
        <f t="shared" si="421"/>
        <v>0</v>
      </c>
      <c r="L246" s="56" t="s">
        <v>61</v>
      </c>
      <c r="M246" s="38">
        <f>IF(D244&gt;0,_xll.BDP(I244,"ASK")/100,(_xll.BDP(I244,"ASK")/100)+D244)</f>
        <v>9.0000000000092437E-4</v>
      </c>
      <c r="N246" s="49"/>
      <c r="O246" s="43"/>
      <c r="P246" s="53"/>
      <c r="Q246" s="29" t="str">
        <f>$H244&amp;$H$179&amp;"_"&amp;Q$172&amp;$P$172</f>
        <v>150.5C_147P</v>
      </c>
      <c r="R246" s="29" t="str">
        <f t="shared" ref="R246:AL246" si="443">$H244&amp;$H$179&amp;"_"&amp;R$172&amp;$P$172</f>
        <v>150.5C_147.5P</v>
      </c>
      <c r="S246" s="29" t="str">
        <f t="shared" si="443"/>
        <v>150.5C_148P</v>
      </c>
      <c r="T246" s="29" t="str">
        <f t="shared" si="443"/>
        <v>150.5C_148.5P</v>
      </c>
      <c r="U246" s="29" t="str">
        <f t="shared" si="443"/>
        <v>150.5C_149P</v>
      </c>
      <c r="V246" s="29" t="str">
        <f t="shared" si="443"/>
        <v>150.5C_149.5P</v>
      </c>
      <c r="W246" s="29" t="str">
        <f t="shared" si="443"/>
        <v>150.5C_150P</v>
      </c>
      <c r="X246" s="29" t="str">
        <f t="shared" si="443"/>
        <v>150.5C_150.5P</v>
      </c>
      <c r="Y246" s="29" t="str">
        <f t="shared" si="443"/>
        <v>150.5C_151P</v>
      </c>
      <c r="Z246" s="29" t="str">
        <f t="shared" si="443"/>
        <v>150.5C_151.5P</v>
      </c>
      <c r="AA246" s="29" t="str">
        <f t="shared" si="443"/>
        <v>150.5C_152P</v>
      </c>
      <c r="AB246" s="29" t="str">
        <f t="shared" si="443"/>
        <v>150.5C_152.5P</v>
      </c>
      <c r="AC246" s="29" t="str">
        <f t="shared" si="443"/>
        <v>150.5C_153P</v>
      </c>
      <c r="AD246" s="29" t="str">
        <f t="shared" si="443"/>
        <v>150.5C_153.5P</v>
      </c>
      <c r="AE246" s="29" t="str">
        <f t="shared" si="443"/>
        <v>150.5C_154P</v>
      </c>
      <c r="AF246" s="29" t="str">
        <f t="shared" si="443"/>
        <v>150.5C_154.5P</v>
      </c>
      <c r="AG246" s="29" t="str">
        <f t="shared" si="443"/>
        <v>150.5C_155P</v>
      </c>
      <c r="AH246" s="29" t="str">
        <f t="shared" si="443"/>
        <v>150.5C_155.5P</v>
      </c>
      <c r="AI246" s="29" t="str">
        <f t="shared" si="443"/>
        <v>150.5C_156P</v>
      </c>
      <c r="AJ246" s="29" t="str">
        <f t="shared" si="443"/>
        <v>150.5C_156.5P</v>
      </c>
      <c r="AK246" s="29" t="str">
        <f t="shared" si="443"/>
        <v>150.5C_157P</v>
      </c>
      <c r="AL246" s="29" t="str">
        <f t="shared" si="443"/>
        <v>150.5C_157.5P</v>
      </c>
    </row>
    <row r="247" spans="1:38" ht="12.75" thickTop="1">
      <c r="A247" s="62"/>
      <c r="B247" s="62"/>
      <c r="C247" s="63"/>
      <c r="D247" s="63"/>
      <c r="E247" s="63"/>
      <c r="F247" s="63"/>
      <c r="G247" s="63"/>
      <c r="J247" s="38"/>
      <c r="K247" s="4">
        <f t="shared" si="421"/>
        <v>0</v>
      </c>
      <c r="M247" s="38"/>
      <c r="N247" s="49"/>
      <c r="O247" s="43"/>
      <c r="P247" s="53"/>
      <c r="Q247" s="64"/>
      <c r="R247" s="64"/>
      <c r="S247" s="64"/>
      <c r="T247" s="64"/>
      <c r="U247" s="64"/>
      <c r="V247" s="64"/>
      <c r="W247" s="64"/>
      <c r="X247" s="64"/>
      <c r="Y247" s="64"/>
      <c r="Z247" s="64"/>
      <c r="AA247" s="64"/>
      <c r="AB247" s="64"/>
      <c r="AC247" s="64"/>
      <c r="AD247" s="64"/>
      <c r="AE247" s="64"/>
      <c r="AF247" s="64"/>
      <c r="AG247" s="64"/>
      <c r="AH247" s="64"/>
      <c r="AI247" s="64"/>
      <c r="AJ247" s="64"/>
      <c r="AK247" s="64"/>
      <c r="AL247" s="64"/>
    </row>
    <row r="248" spans="1:38">
      <c r="A248" s="62">
        <f>_xll.BDP($I248, A$179)/-1</f>
        <v>-1</v>
      </c>
      <c r="B248" s="62">
        <f>_xll.BDP($I248, B$179)/100</f>
        <v>0.10924092000000001</v>
      </c>
      <c r="C248" s="63">
        <f ca="1">B248*(MIN(SQRT(1/365),(SQRT(($B$174/365)))))</f>
        <v>5.7179310853763725E-3</v>
      </c>
      <c r="D248" s="63">
        <f>(H248-$B$164)/100</f>
        <v>-3.5699999999999364E-2</v>
      </c>
      <c r="E248" s="63">
        <f ca="1">ABS(D248/$E$173)</f>
        <v>4.9090595150933725</v>
      </c>
      <c r="F248" s="63">
        <f ca="1">1-_xlfn.NORM.S.DIST(E248,1)</f>
        <v>4.5757102429266894E-7</v>
      </c>
      <c r="G248" s="63">
        <f ca="1">IF(D248&gt;0,0,0.25*$B$176)</f>
        <v>2.6559039438231819E-5</v>
      </c>
      <c r="H248" s="4">
        <v>150.00000000000006</v>
      </c>
      <c r="I248" t="str">
        <f>($I$179&amp;" "&amp;H248&amp;" COMB Curncy")</f>
        <v>3BV5C 150 COMB Curncy</v>
      </c>
      <c r="J248" s="38">
        <f ca="1">-1*CGBlackScholes("t","c",B$164,H248,$B$174/365,$B$166,$B$165,B248)/100</f>
        <v>2.4242811452784737E-4</v>
      </c>
      <c r="K248" s="4">
        <f ca="1">J248*P248</f>
        <v>0</v>
      </c>
      <c r="L248" s="56">
        <f ca="1">CGBlackScholes("g","c",B$164,H248,$B$174/365,$B$166,$B$165,B248)</f>
        <v>6.3146108206445201E-2</v>
      </c>
      <c r="M248" s="38">
        <f ca="1">((M249+M250)/2)/$B$174</f>
        <v>4.4265065730949718E-6</v>
      </c>
      <c r="N248" s="49">
        <f ca="1">(MIN($J248,$M248) - $B$172*$B$173/10000*$F248)*10000</f>
        <v>4.4210157208034596E-2</v>
      </c>
      <c r="O248" s="43" t="str">
        <f>ROUND((($M250*10000)+$B$173),0)&amp;" ticks"</f>
        <v>21 ticks</v>
      </c>
      <c r="P248" s="53">
        <f>SUM(Q247:AL247)</f>
        <v>0</v>
      </c>
      <c r="Q248" s="27" t="e">
        <f ca="1">(MIN(($J248+Q$174),($M248+Q$179))- $B$176 - (($B$172*$B$176)*MAX($F248,Q$170))-($G248+Q$171))* 10000</f>
        <v>#VALUE!</v>
      </c>
      <c r="R248" s="27" t="e">
        <f t="shared" ref="R248:AL248" ca="1" si="444">(MIN(($J248+R$174),($M248+R$179))- $B$176 - (($B$172*$B$176)*MAX($F248,R$170))-($G248+R$171))* 10000</f>
        <v>#VALUE!</v>
      </c>
      <c r="S248" s="27" t="e">
        <f t="shared" ca="1" si="444"/>
        <v>#VALUE!</v>
      </c>
      <c r="T248" s="27" t="e">
        <f t="shared" ca="1" si="444"/>
        <v>#VALUE!</v>
      </c>
      <c r="U248" s="27" t="e">
        <f t="shared" ca="1" si="444"/>
        <v>#VALUE!</v>
      </c>
      <c r="V248" s="27" t="e">
        <f t="shared" ca="1" si="444"/>
        <v>#VALUE!</v>
      </c>
      <c r="W248" s="27" t="e">
        <f t="shared" ca="1" si="444"/>
        <v>#VALUE!</v>
      </c>
      <c r="X248" s="27" t="e">
        <f t="shared" ca="1" si="444"/>
        <v>#VALUE!</v>
      </c>
      <c r="Y248" s="27">
        <f t="shared" ca="1" si="444"/>
        <v>-1.1088011018216979</v>
      </c>
      <c r="Z248" s="27">
        <f t="shared" ca="1" si="444"/>
        <v>-0.95305122292284694</v>
      </c>
      <c r="AA248" s="27">
        <f t="shared" ca="1" si="444"/>
        <v>-0.82789308236335801</v>
      </c>
      <c r="AB248" s="27">
        <f t="shared" ca="1" si="444"/>
        <v>-0.75001900187882808</v>
      </c>
      <c r="AC248" s="27">
        <f t="shared" ca="1" si="444"/>
        <v>-1.1942244560831263</v>
      </c>
      <c r="AD248" s="27">
        <f t="shared" ca="1" si="444"/>
        <v>-2.0715193839850548</v>
      </c>
      <c r="AE248" s="27">
        <f t="shared" ca="1" si="444"/>
        <v>-1.6165316081355945</v>
      </c>
      <c r="AF248" s="27">
        <f t="shared" ca="1" si="444"/>
        <v>-1.0674434116551403</v>
      </c>
      <c r="AG248" s="27">
        <f t="shared" ca="1" si="444"/>
        <v>-0.88134628523611003</v>
      </c>
      <c r="AH248" s="27">
        <f t="shared" ca="1" si="444"/>
        <v>-1.104624083094194</v>
      </c>
      <c r="AI248" s="27">
        <f t="shared" ca="1" si="444"/>
        <v>-1.2881137042052191</v>
      </c>
      <c r="AJ248" s="27">
        <f t="shared" ca="1" si="444"/>
        <v>-1.3725145714378286</v>
      </c>
      <c r="AK248" s="27">
        <f t="shared" ca="1" si="444"/>
        <v>-1.4607599110970675</v>
      </c>
      <c r="AL248" s="27">
        <f t="shared" ca="1" si="444"/>
        <v>-1.5050170958934002</v>
      </c>
    </row>
    <row r="249" spans="1:38">
      <c r="A249" s="62"/>
      <c r="B249" s="62"/>
      <c r="C249" s="63"/>
      <c r="D249" s="63"/>
      <c r="E249" s="63"/>
      <c r="F249" s="63"/>
      <c r="G249" s="63"/>
      <c r="J249" s="38"/>
      <c r="K249" s="4">
        <f t="shared" ref="K249:K251" si="445">J249*P249</f>
        <v>0</v>
      </c>
      <c r="L249" s="56" t="s">
        <v>60</v>
      </c>
      <c r="M249" s="38">
        <f>IF(D248&gt;0,_xll.BDP(I248,"BID")/100,(_xll.BDP(I248,"BID")/100)+D248)</f>
        <v>-7.9999999999936372E-4</v>
      </c>
      <c r="N249" s="49"/>
      <c r="O249" s="43"/>
      <c r="P249" s="53"/>
      <c r="Q249" s="27">
        <f>Q$165+$A248</f>
        <v>-0.98997999999999997</v>
      </c>
      <c r="R249" s="27">
        <f t="shared" ref="R249" si="446">R$165+$A248</f>
        <v>-0.98930899999999999</v>
      </c>
      <c r="S249" s="27">
        <f t="shared" ref="S249" si="447">S$165+$A248</f>
        <v>-0.98851900000000004</v>
      </c>
      <c r="T249" s="27">
        <f t="shared" ref="T249" si="448">T$165+$A248</f>
        <v>-0.98768199999999995</v>
      </c>
      <c r="U249" s="27">
        <f t="shared" ref="U249" si="449">U$165+$A248</f>
        <v>-0.98677999999999999</v>
      </c>
      <c r="V249" s="27">
        <f t="shared" ref="V249" si="450">V$165+$A248</f>
        <v>-0.98554699999999995</v>
      </c>
      <c r="W249" s="27">
        <f t="shared" ref="W249" si="451">W$165+$A248</f>
        <v>-0.97303499999999998</v>
      </c>
      <c r="X249" s="27">
        <f t="shared" ref="X249" si="452">X$165+$A248</f>
        <v>-0.97004599999999996</v>
      </c>
      <c r="Y249" s="27">
        <f t="shared" ref="Y249" si="453">Y$165+$A248</f>
        <v>-0.97964499999999999</v>
      </c>
      <c r="Z249" s="27">
        <f t="shared" ref="Z249" si="454">Z$165+$A248</f>
        <v>-0.93467600000000006</v>
      </c>
      <c r="AA249" s="27">
        <f t="shared" ref="AA249" si="455">AA$165+$A248</f>
        <v>-0.88761400000000001</v>
      </c>
      <c r="AB249" s="27">
        <f t="shared" ref="AB249" si="456">AB$165+$A248</f>
        <v>-0.79646899999999998</v>
      </c>
      <c r="AC249" s="27">
        <f t="shared" ref="AC249" si="457">AC$165+$A248</f>
        <v>-0.673655</v>
      </c>
      <c r="AD249" s="27">
        <f t="shared" ref="AD249" si="458">AD$165+$A248</f>
        <v>-0.52092099999999997</v>
      </c>
      <c r="AE249" s="27">
        <f t="shared" ref="AE249" si="459">AE$165+$A248</f>
        <v>-0.37355499999999997</v>
      </c>
      <c r="AF249" s="27">
        <f t="shared" ref="AF249" si="460">AF$165+$A248</f>
        <v>-0.24183500000000002</v>
      </c>
      <c r="AG249" s="27">
        <f t="shared" ref="AG249" si="461">AG$165+$A248</f>
        <v>-0.14094099999999998</v>
      </c>
      <c r="AH249" s="27">
        <f t="shared" ref="AH249" si="462">AH$165+$A248</f>
        <v>-9.5698999999999979E-2</v>
      </c>
      <c r="AI249" s="27">
        <f t="shared" ref="AI249" si="463">AI$165+$A248</f>
        <v>-6.0494999999999965E-2</v>
      </c>
      <c r="AJ249" s="27">
        <f t="shared" ref="AJ249" si="464">AJ$165+$A248</f>
        <v>-4.2906E-2</v>
      </c>
      <c r="AK249" s="27">
        <f t="shared" ref="AK249" si="465">AK$165+$A248</f>
        <v>-2.8734999999999955E-2</v>
      </c>
      <c r="AL249" s="27">
        <f t="shared" ref="AL249" si="466">AL$165+$A248</f>
        <v>-2.103900000000003E-2</v>
      </c>
    </row>
    <row r="250" spans="1:38" ht="12.75" thickBot="1">
      <c r="A250" s="62"/>
      <c r="B250" s="62"/>
      <c r="C250" s="63"/>
      <c r="D250" s="63"/>
      <c r="E250" s="63"/>
      <c r="F250" s="63"/>
      <c r="G250" s="63"/>
      <c r="J250" s="38"/>
      <c r="K250" s="4">
        <f t="shared" si="445"/>
        <v>0</v>
      </c>
      <c r="L250" s="56" t="s">
        <v>61</v>
      </c>
      <c r="M250" s="38">
        <f>IF(D248&gt;0,_xll.BDP(I248,"ASK")/100,(_xll.BDP(I248,"ASK")/100)+D248)</f>
        <v>9.000000000006364E-4</v>
      </c>
      <c r="N250" s="49"/>
      <c r="O250" s="43"/>
      <c r="P250" s="53"/>
      <c r="Q250" s="29" t="str">
        <f>$H248&amp;$H$179&amp;"_"&amp;Q$172&amp;$P$172</f>
        <v>150C_147P</v>
      </c>
      <c r="R250" s="29" t="str">
        <f t="shared" ref="R250:AL250" si="467">$H248&amp;$H$179&amp;"_"&amp;R$172&amp;$P$172</f>
        <v>150C_147.5P</v>
      </c>
      <c r="S250" s="29" t="str">
        <f t="shared" si="467"/>
        <v>150C_148P</v>
      </c>
      <c r="T250" s="29" t="str">
        <f t="shared" si="467"/>
        <v>150C_148.5P</v>
      </c>
      <c r="U250" s="29" t="str">
        <f t="shared" si="467"/>
        <v>150C_149P</v>
      </c>
      <c r="V250" s="29" t="str">
        <f t="shared" si="467"/>
        <v>150C_149.5P</v>
      </c>
      <c r="W250" s="29" t="str">
        <f t="shared" si="467"/>
        <v>150C_150P</v>
      </c>
      <c r="X250" s="29" t="str">
        <f t="shared" si="467"/>
        <v>150C_150.5P</v>
      </c>
      <c r="Y250" s="29" t="str">
        <f t="shared" si="467"/>
        <v>150C_151P</v>
      </c>
      <c r="Z250" s="29" t="str">
        <f t="shared" si="467"/>
        <v>150C_151.5P</v>
      </c>
      <c r="AA250" s="29" t="str">
        <f t="shared" si="467"/>
        <v>150C_152P</v>
      </c>
      <c r="AB250" s="29" t="str">
        <f t="shared" si="467"/>
        <v>150C_152.5P</v>
      </c>
      <c r="AC250" s="29" t="str">
        <f t="shared" si="467"/>
        <v>150C_153P</v>
      </c>
      <c r="AD250" s="29" t="str">
        <f t="shared" si="467"/>
        <v>150C_153.5P</v>
      </c>
      <c r="AE250" s="29" t="str">
        <f t="shared" si="467"/>
        <v>150C_154P</v>
      </c>
      <c r="AF250" s="29" t="str">
        <f t="shared" si="467"/>
        <v>150C_154.5P</v>
      </c>
      <c r="AG250" s="29" t="str">
        <f t="shared" si="467"/>
        <v>150C_155P</v>
      </c>
      <c r="AH250" s="29" t="str">
        <f t="shared" si="467"/>
        <v>150C_155.5P</v>
      </c>
      <c r="AI250" s="29" t="str">
        <f t="shared" si="467"/>
        <v>150C_156P</v>
      </c>
      <c r="AJ250" s="29" t="str">
        <f t="shared" si="467"/>
        <v>150C_156.5P</v>
      </c>
      <c r="AK250" s="29" t="str">
        <f t="shared" si="467"/>
        <v>150C_157P</v>
      </c>
      <c r="AL250" s="29" t="str">
        <f t="shared" si="467"/>
        <v>150C_157.5P</v>
      </c>
    </row>
    <row r="251" spans="1:38" ht="12.75" thickTop="1">
      <c r="A251" s="62"/>
      <c r="B251" s="62"/>
      <c r="C251" s="63"/>
      <c r="D251" s="63"/>
      <c r="E251" s="63"/>
      <c r="F251" s="63"/>
      <c r="G251" s="63"/>
      <c r="J251" s="38"/>
      <c r="K251" s="4">
        <f t="shared" si="445"/>
        <v>0</v>
      </c>
      <c r="M251" s="38"/>
      <c r="N251" s="49"/>
      <c r="O251" s="43"/>
      <c r="P251" s="53"/>
      <c r="Q251" s="64"/>
      <c r="R251" s="64"/>
      <c r="S251" s="64"/>
      <c r="T251" s="64"/>
      <c r="U251" s="64"/>
      <c r="V251" s="64"/>
      <c r="W251" s="64"/>
      <c r="X251" s="64"/>
      <c r="Y251" s="64"/>
      <c r="Z251" s="64"/>
      <c r="AA251" s="64"/>
      <c r="AB251" s="64"/>
      <c r="AC251" s="64"/>
      <c r="AD251" s="64"/>
      <c r="AE251" s="64"/>
      <c r="AF251" s="64"/>
      <c r="AG251" s="64"/>
      <c r="AH251" s="64"/>
      <c r="AI251" s="64"/>
      <c r="AJ251" s="64"/>
      <c r="AK251" s="64"/>
      <c r="AL251" s="64"/>
    </row>
    <row r="252" spans="1:38">
      <c r="A252" s="62">
        <f>_xll.BDP($I252, A$179)/-1</f>
        <v>-1</v>
      </c>
      <c r="B252" s="62">
        <f>_xll.BDP($I252, B$179)/100</f>
        <v>0.12254357</v>
      </c>
      <c r="C252" s="63">
        <f ca="1">B252*(MIN(SQRT(1/365),(SQRT(($B$174/365)))))</f>
        <v>6.4142236097608435E-3</v>
      </c>
      <c r="D252" s="63">
        <f>(H252-$B$164)/100</f>
        <v>-4.0699999999999362E-2</v>
      </c>
      <c r="E252" s="63">
        <f ca="1">ABS(D252/$E$173)</f>
        <v>5.596602864546238</v>
      </c>
      <c r="F252" s="63">
        <f ca="1">1-_xlfn.NORM.S.DIST(E252,1)</f>
        <v>1.0929632421330382E-8</v>
      </c>
      <c r="G252" s="63">
        <f ca="1">IF(D252&gt;0,0,0.25*$B$176)</f>
        <v>2.6559039438231819E-5</v>
      </c>
      <c r="H252" s="4">
        <v>149.50000000000006</v>
      </c>
      <c r="I252" t="str">
        <f>($I$179&amp;" "&amp;H252&amp;" COMB Curncy")</f>
        <v>3BV5C 149.5 COMB Curncy</v>
      </c>
      <c r="J252" s="38">
        <f ca="1">-1*CGBlackScholes("t","c",B$164,H252,$B$174/365,$B$166,$B$165,B252)/100</f>
        <v>2.6416167209414299E-4</v>
      </c>
      <c r="K252" s="4">
        <f ca="1">J252*P252</f>
        <v>0</v>
      </c>
      <c r="L252" s="56">
        <f ca="1">CGBlackScholes("g","c",B$164,H252,$B$174/365,$B$166,$B$165,B252)</f>
        <v>5.4689298192920718E-2</v>
      </c>
      <c r="M252" s="38">
        <f ca="1">((M253+M254)/2)/$B$174</f>
        <v>4.4265065730952793E-6</v>
      </c>
      <c r="N252" s="49">
        <f ca="1">(MIN($J252,$M252) - $B$172*$B$173/10000*$F252)*10000</f>
        <v>4.4263754175062231E-2</v>
      </c>
      <c r="O252" s="43" t="str">
        <f>ROUND((($M254*10000)+$B$173),0)&amp;" ticks"</f>
        <v>21 ticks</v>
      </c>
      <c r="P252" s="53">
        <f>SUM(Q251:AL251)</f>
        <v>0</v>
      </c>
      <c r="Q252" s="27" t="e">
        <f ca="1">(MIN(($J252+Q$174),($M252+Q$179))- $B$176 - (($B$172*$B$176)*MAX($F252,Q$170))-($G252+Q$171))* 10000</f>
        <v>#VALUE!</v>
      </c>
      <c r="R252" s="27" t="e">
        <f t="shared" ref="R252:AL252" ca="1" si="468">(MIN(($J252+R$174),($M252+R$179))- $B$176 - (($B$172*$B$176)*MAX($F252,R$170))-($G252+R$171))* 10000</f>
        <v>#VALUE!</v>
      </c>
      <c r="S252" s="27" t="e">
        <f t="shared" ca="1" si="468"/>
        <v>#VALUE!</v>
      </c>
      <c r="T252" s="27" t="e">
        <f t="shared" ca="1" si="468"/>
        <v>#VALUE!</v>
      </c>
      <c r="U252" s="27" t="e">
        <f t="shared" ca="1" si="468"/>
        <v>#VALUE!</v>
      </c>
      <c r="V252" s="27" t="e">
        <f t="shared" ca="1" si="468"/>
        <v>#VALUE!</v>
      </c>
      <c r="W252" s="27" t="e">
        <f t="shared" ca="1" si="468"/>
        <v>#VALUE!</v>
      </c>
      <c r="X252" s="27" t="e">
        <f t="shared" ca="1" si="468"/>
        <v>#VALUE!</v>
      </c>
      <c r="Y252" s="27">
        <f t="shared" ca="1" si="468"/>
        <v>-1.1088011018216948</v>
      </c>
      <c r="Z252" s="27">
        <f t="shared" ca="1" si="468"/>
        <v>-0.95305122292284383</v>
      </c>
      <c r="AA252" s="27">
        <f t="shared" ca="1" si="468"/>
        <v>-0.8278930823633549</v>
      </c>
      <c r="AB252" s="27">
        <f t="shared" ca="1" si="468"/>
        <v>-0.75001900187882509</v>
      </c>
      <c r="AC252" s="27">
        <f t="shared" ca="1" si="468"/>
        <v>-1.1942244560831237</v>
      </c>
      <c r="AD252" s="27">
        <f t="shared" ca="1" si="468"/>
        <v>-2.0715193839850516</v>
      </c>
      <c r="AE252" s="27">
        <f t="shared" ca="1" si="468"/>
        <v>-1.6165316081355914</v>
      </c>
      <c r="AF252" s="27">
        <f t="shared" ca="1" si="468"/>
        <v>-1.0674434116551372</v>
      </c>
      <c r="AG252" s="27">
        <f t="shared" ca="1" si="468"/>
        <v>-0.8813462852361067</v>
      </c>
      <c r="AH252" s="27">
        <f t="shared" ca="1" si="468"/>
        <v>-1.1046240830941909</v>
      </c>
      <c r="AI252" s="27">
        <f t="shared" ca="1" si="468"/>
        <v>-1.2881137042052162</v>
      </c>
      <c r="AJ252" s="27">
        <f t="shared" ca="1" si="468"/>
        <v>-1.3725145714378257</v>
      </c>
      <c r="AK252" s="27">
        <f t="shared" ca="1" si="468"/>
        <v>-1.4607599110970644</v>
      </c>
      <c r="AL252" s="27">
        <f t="shared" ca="1" si="468"/>
        <v>-1.5050125808350285</v>
      </c>
    </row>
    <row r="253" spans="1:38">
      <c r="A253" s="62"/>
      <c r="B253" s="62"/>
      <c r="C253" s="63"/>
      <c r="D253" s="63"/>
      <c r="E253" s="63"/>
      <c r="F253" s="63"/>
      <c r="G253" s="63"/>
      <c r="J253" s="38"/>
      <c r="K253" s="4">
        <f t="shared" ref="K253:K255" si="469">J253*P253</f>
        <v>0</v>
      </c>
      <c r="L253" s="56" t="s">
        <v>60</v>
      </c>
      <c r="M253" s="38">
        <f>IF(D252&gt;0,_xll.BDP(I252,"BID")/100,(_xll.BDP(I252,"BID")/100)+D252)</f>
        <v>-7.9999999999935678E-4</v>
      </c>
      <c r="N253" s="49"/>
      <c r="O253" s="43"/>
      <c r="P253" s="53"/>
      <c r="Q253" s="27">
        <f>Q$165+$A252</f>
        <v>-0.98997999999999997</v>
      </c>
      <c r="R253" s="27">
        <f t="shared" ref="R253" si="470">R$165+$A252</f>
        <v>-0.98930899999999999</v>
      </c>
      <c r="S253" s="27">
        <f t="shared" ref="S253" si="471">S$165+$A252</f>
        <v>-0.98851900000000004</v>
      </c>
      <c r="T253" s="27">
        <f t="shared" ref="T253" si="472">T$165+$A252</f>
        <v>-0.98768199999999995</v>
      </c>
      <c r="U253" s="27">
        <f t="shared" ref="U253" si="473">U$165+$A252</f>
        <v>-0.98677999999999999</v>
      </c>
      <c r="V253" s="27">
        <f t="shared" ref="V253" si="474">V$165+$A252</f>
        <v>-0.98554699999999995</v>
      </c>
      <c r="W253" s="27">
        <f t="shared" ref="W253" si="475">W$165+$A252</f>
        <v>-0.97303499999999998</v>
      </c>
      <c r="X253" s="27">
        <f t="shared" ref="X253" si="476">X$165+$A252</f>
        <v>-0.97004599999999996</v>
      </c>
      <c r="Y253" s="27">
        <f t="shared" ref="Y253" si="477">Y$165+$A252</f>
        <v>-0.97964499999999999</v>
      </c>
      <c r="Z253" s="27">
        <f t="shared" ref="Z253" si="478">Z$165+$A252</f>
        <v>-0.93467600000000006</v>
      </c>
      <c r="AA253" s="27">
        <f t="shared" ref="AA253" si="479">AA$165+$A252</f>
        <v>-0.88761400000000001</v>
      </c>
      <c r="AB253" s="27">
        <f t="shared" ref="AB253" si="480">AB$165+$A252</f>
        <v>-0.79646899999999998</v>
      </c>
      <c r="AC253" s="27">
        <f t="shared" ref="AC253" si="481">AC$165+$A252</f>
        <v>-0.673655</v>
      </c>
      <c r="AD253" s="27">
        <f t="shared" ref="AD253" si="482">AD$165+$A252</f>
        <v>-0.52092099999999997</v>
      </c>
      <c r="AE253" s="27">
        <f t="shared" ref="AE253" si="483">AE$165+$A252</f>
        <v>-0.37355499999999997</v>
      </c>
      <c r="AF253" s="27">
        <f t="shared" ref="AF253" si="484">AF$165+$A252</f>
        <v>-0.24183500000000002</v>
      </c>
      <c r="AG253" s="27">
        <f t="shared" ref="AG253" si="485">AG$165+$A252</f>
        <v>-0.14094099999999998</v>
      </c>
      <c r="AH253" s="27">
        <f t="shared" ref="AH253" si="486">AH$165+$A252</f>
        <v>-9.5698999999999979E-2</v>
      </c>
      <c r="AI253" s="27">
        <f t="shared" ref="AI253" si="487">AI$165+$A252</f>
        <v>-6.0494999999999965E-2</v>
      </c>
      <c r="AJ253" s="27">
        <f t="shared" ref="AJ253" si="488">AJ$165+$A252</f>
        <v>-4.2906E-2</v>
      </c>
      <c r="AK253" s="27">
        <f t="shared" ref="AK253" si="489">AK$165+$A252</f>
        <v>-2.8734999999999955E-2</v>
      </c>
      <c r="AL253" s="27">
        <f t="shared" ref="AL253" si="490">AL$165+$A252</f>
        <v>-2.103900000000003E-2</v>
      </c>
    </row>
    <row r="254" spans="1:38" ht="12.75" thickBot="1">
      <c r="A254" s="62"/>
      <c r="B254" s="62"/>
      <c r="C254" s="63"/>
      <c r="D254" s="63"/>
      <c r="E254" s="63"/>
      <c r="F254" s="63"/>
      <c r="G254" s="63"/>
      <c r="J254" s="38"/>
      <c r="K254" s="4">
        <f t="shared" si="469"/>
        <v>0</v>
      </c>
      <c r="L254" s="56" t="s">
        <v>61</v>
      </c>
      <c r="M254" s="38">
        <f>IF(D252&gt;0,_xll.BDP(I252,"ASK")/100,(_xll.BDP(I252,"ASK")/100)+D252)</f>
        <v>9.000000000006364E-4</v>
      </c>
      <c r="N254" s="49"/>
      <c r="O254" s="43"/>
      <c r="P254" s="53"/>
      <c r="Q254" s="29" t="str">
        <f>$H252&amp;$H$179&amp;"_"&amp;Q$172&amp;$P$172</f>
        <v>149.5C_147P</v>
      </c>
      <c r="R254" s="29" t="str">
        <f t="shared" ref="R254:AL254" si="491">$H252&amp;$H$179&amp;"_"&amp;R$172&amp;$P$172</f>
        <v>149.5C_147.5P</v>
      </c>
      <c r="S254" s="29" t="str">
        <f t="shared" si="491"/>
        <v>149.5C_148P</v>
      </c>
      <c r="T254" s="29" t="str">
        <f t="shared" si="491"/>
        <v>149.5C_148.5P</v>
      </c>
      <c r="U254" s="29" t="str">
        <f t="shared" si="491"/>
        <v>149.5C_149P</v>
      </c>
      <c r="V254" s="29" t="str">
        <f t="shared" si="491"/>
        <v>149.5C_149.5P</v>
      </c>
      <c r="W254" s="29" t="str">
        <f t="shared" si="491"/>
        <v>149.5C_150P</v>
      </c>
      <c r="X254" s="29" t="str">
        <f t="shared" si="491"/>
        <v>149.5C_150.5P</v>
      </c>
      <c r="Y254" s="29" t="str">
        <f t="shared" si="491"/>
        <v>149.5C_151P</v>
      </c>
      <c r="Z254" s="29" t="str">
        <f t="shared" si="491"/>
        <v>149.5C_151.5P</v>
      </c>
      <c r="AA254" s="29" t="str">
        <f t="shared" si="491"/>
        <v>149.5C_152P</v>
      </c>
      <c r="AB254" s="29" t="str">
        <f t="shared" si="491"/>
        <v>149.5C_152.5P</v>
      </c>
      <c r="AC254" s="29" t="str">
        <f t="shared" si="491"/>
        <v>149.5C_153P</v>
      </c>
      <c r="AD254" s="29" t="str">
        <f t="shared" si="491"/>
        <v>149.5C_153.5P</v>
      </c>
      <c r="AE254" s="29" t="str">
        <f t="shared" si="491"/>
        <v>149.5C_154P</v>
      </c>
      <c r="AF254" s="29" t="str">
        <f t="shared" si="491"/>
        <v>149.5C_154.5P</v>
      </c>
      <c r="AG254" s="29" t="str">
        <f t="shared" si="491"/>
        <v>149.5C_155P</v>
      </c>
      <c r="AH254" s="29" t="str">
        <f t="shared" si="491"/>
        <v>149.5C_155.5P</v>
      </c>
      <c r="AI254" s="29" t="str">
        <f t="shared" si="491"/>
        <v>149.5C_156P</v>
      </c>
      <c r="AJ254" s="29" t="str">
        <f t="shared" si="491"/>
        <v>149.5C_156.5P</v>
      </c>
      <c r="AK254" s="29" t="str">
        <f t="shared" si="491"/>
        <v>149.5C_157P</v>
      </c>
      <c r="AL254" s="29" t="str">
        <f t="shared" si="491"/>
        <v>149.5C_157.5P</v>
      </c>
    </row>
    <row r="255" spans="1:38" ht="12.75" thickTop="1">
      <c r="A255" s="62"/>
      <c r="B255" s="62"/>
      <c r="C255" s="63"/>
      <c r="D255" s="63"/>
      <c r="E255" s="63"/>
      <c r="F255" s="63"/>
      <c r="G255" s="63"/>
      <c r="J255" s="38"/>
      <c r="K255" s="4">
        <f t="shared" si="469"/>
        <v>0</v>
      </c>
      <c r="M255" s="38"/>
      <c r="N255" s="49"/>
      <c r="O255" s="43"/>
      <c r="P255" s="53"/>
      <c r="Q255" s="64"/>
      <c r="R255" s="64"/>
      <c r="S255" s="64"/>
      <c r="T255" s="64"/>
      <c r="U255" s="64"/>
      <c r="V255" s="64"/>
      <c r="W255" s="64"/>
      <c r="X255" s="64"/>
      <c r="Y255" s="64"/>
      <c r="Z255" s="64"/>
      <c r="AA255" s="64"/>
      <c r="AB255" s="64"/>
      <c r="AC255" s="64"/>
      <c r="AD255" s="64"/>
      <c r="AE255" s="64"/>
      <c r="AF255" s="64"/>
      <c r="AG255" s="64"/>
      <c r="AH255" s="64"/>
      <c r="AI255" s="64"/>
      <c r="AJ255" s="64"/>
      <c r="AK255" s="64"/>
      <c r="AL255" s="64"/>
    </row>
    <row r="256" spans="1:38">
      <c r="A256" s="62">
        <f>_xll.BDP($I256, A$179)/-1</f>
        <v>-0.99210900000000002</v>
      </c>
      <c r="B256" s="62">
        <f>_xll.BDP($I256, B$179)/100</f>
        <v>0.12455190999999999</v>
      </c>
      <c r="C256" s="63">
        <f ca="1">B256*(MIN(SQRT(1/365),(SQRT(($B$174/365)))))</f>
        <v>6.5193449298303254E-3</v>
      </c>
      <c r="D256" s="63">
        <f>(H256-$B$164)/100</f>
        <v>-4.5699999999999366E-2</v>
      </c>
      <c r="E256" s="63">
        <f ca="1">ABS(D256/$E$173)</f>
        <v>6.2841462139991044</v>
      </c>
      <c r="F256" s="63">
        <f ca="1">1-_xlfn.NORM.S.DIST(E256,1)</f>
        <v>1.6483014952939357E-10</v>
      </c>
      <c r="G256" s="63">
        <f ca="1">IF(D256&gt;0,0,0.25*$B$176)</f>
        <v>2.6559039438231819E-5</v>
      </c>
      <c r="H256" s="4">
        <v>149.00000000000006</v>
      </c>
      <c r="I256" t="str">
        <f>($I$179&amp;" "&amp;H256&amp;" COMB Curncy")</f>
        <v>3BV5C 149 COMB Curncy</v>
      </c>
      <c r="J256" s="38">
        <f ca="1">-1*CGBlackScholes("t","c",B$164,H256,$B$174/365,$B$166,$B$165,B256)/100</f>
        <v>2.2487103579127931E-4</v>
      </c>
      <c r="K256" s="4">
        <f ca="1">J256*P256</f>
        <v>0</v>
      </c>
      <c r="L256" s="56">
        <f ca="1">CGBlackScholes("g","c",B$164,H256,$B$174/365,$B$166,$B$165,B256)</f>
        <v>4.5125335713219215E-2</v>
      </c>
      <c r="M256" s="38">
        <f ca="1">((M257+M258)/2)/$B$174</f>
        <v>4.4265065730949718E-6</v>
      </c>
      <c r="N256" s="49">
        <f ca="1">(MIN($J256,$M256) - $B$172*$B$173/10000*$F256)*10000</f>
        <v>4.4265045951331773E-2</v>
      </c>
      <c r="O256" s="43" t="str">
        <f>ROUND((($M258*10000)+$B$173),0)&amp;" ticks"</f>
        <v>20 ticks</v>
      </c>
      <c r="P256" s="53">
        <f>SUM(Q255:AL255)</f>
        <v>0</v>
      </c>
      <c r="Q256" s="27" t="e">
        <f ca="1">(MIN(($J256+Q$174),($M256+Q$179))- $B$176 - (($B$172*$B$176)*MAX($F256,Q$170))-($G256+Q$171))* 10000</f>
        <v>#VALUE!</v>
      </c>
      <c r="R256" s="27" t="e">
        <f t="shared" ref="R256:AL256" ca="1" si="492">(MIN(($J256+R$174),($M256+R$179))- $B$176 - (($B$172*$B$176)*MAX($F256,R$170))-($G256+R$171))* 10000</f>
        <v>#VALUE!</v>
      </c>
      <c r="S256" s="27" t="e">
        <f t="shared" ca="1" si="492"/>
        <v>#VALUE!</v>
      </c>
      <c r="T256" s="27" t="e">
        <f t="shared" ca="1" si="492"/>
        <v>#VALUE!</v>
      </c>
      <c r="U256" s="27" t="e">
        <f t="shared" ca="1" si="492"/>
        <v>#VALUE!</v>
      </c>
      <c r="V256" s="27" t="e">
        <f t="shared" ca="1" si="492"/>
        <v>#VALUE!</v>
      </c>
      <c r="W256" s="27" t="e">
        <f t="shared" ca="1" si="492"/>
        <v>#VALUE!</v>
      </c>
      <c r="X256" s="27" t="e">
        <f t="shared" ca="1" si="492"/>
        <v>#VALUE!</v>
      </c>
      <c r="Y256" s="27">
        <f t="shared" ca="1" si="492"/>
        <v>-1.1088011018216979</v>
      </c>
      <c r="Z256" s="27">
        <f t="shared" ca="1" si="492"/>
        <v>-0.95305122292284694</v>
      </c>
      <c r="AA256" s="27">
        <f t="shared" ca="1" si="492"/>
        <v>-0.82789308236335801</v>
      </c>
      <c r="AB256" s="27">
        <f t="shared" ca="1" si="492"/>
        <v>-0.75001900187882808</v>
      </c>
      <c r="AC256" s="27">
        <f t="shared" ca="1" si="492"/>
        <v>-1.1942244560831263</v>
      </c>
      <c r="AD256" s="27">
        <f t="shared" ca="1" si="492"/>
        <v>-2.0715193839850548</v>
      </c>
      <c r="AE256" s="27">
        <f t="shared" ca="1" si="492"/>
        <v>-1.6165316081355945</v>
      </c>
      <c r="AF256" s="27">
        <f t="shared" ca="1" si="492"/>
        <v>-1.0674434116551403</v>
      </c>
      <c r="AG256" s="27">
        <f t="shared" ca="1" si="492"/>
        <v>-0.88134628523611003</v>
      </c>
      <c r="AH256" s="27">
        <f t="shared" ca="1" si="492"/>
        <v>-1.104624083094194</v>
      </c>
      <c r="AI256" s="27">
        <f t="shared" ca="1" si="492"/>
        <v>-1.2881137042052191</v>
      </c>
      <c r="AJ256" s="27">
        <f t="shared" ca="1" si="492"/>
        <v>-1.3725145714378286</v>
      </c>
      <c r="AK256" s="27">
        <f t="shared" ca="1" si="492"/>
        <v>-1.4607599110970675</v>
      </c>
      <c r="AL256" s="27">
        <f t="shared" ca="1" si="492"/>
        <v>-1.5050125808350319</v>
      </c>
    </row>
    <row r="257" spans="1:38">
      <c r="A257" s="62"/>
      <c r="B257" s="62"/>
      <c r="C257" s="63"/>
      <c r="D257" s="63"/>
      <c r="E257" s="63"/>
      <c r="F257" s="63"/>
      <c r="G257" s="63"/>
      <c r="J257" s="38"/>
      <c r="K257" s="4">
        <f t="shared" ref="K257:K259" si="493">J257*P257</f>
        <v>0</v>
      </c>
      <c r="L257" s="56" t="s">
        <v>60</v>
      </c>
      <c r="M257" s="38">
        <f>IF(D256&gt;0,_xll.BDP(I256,"BID")/100,(_xll.BDP(I256,"BID")/100)+D256)</f>
        <v>-6.9999999999936779E-4</v>
      </c>
      <c r="N257" s="49"/>
      <c r="O257" s="43"/>
      <c r="P257" s="53"/>
      <c r="Q257" s="27">
        <f>Q$165+$A256</f>
        <v>-0.98208899999999999</v>
      </c>
      <c r="R257" s="27">
        <f t="shared" ref="R257" si="494">R$165+$A256</f>
        <v>-0.98141800000000001</v>
      </c>
      <c r="S257" s="27">
        <f t="shared" ref="S257" si="495">S$165+$A256</f>
        <v>-0.98062800000000006</v>
      </c>
      <c r="T257" s="27">
        <f t="shared" ref="T257" si="496">T$165+$A256</f>
        <v>-0.97979099999999997</v>
      </c>
      <c r="U257" s="27">
        <f t="shared" ref="U257" si="497">U$165+$A256</f>
        <v>-0.97888900000000001</v>
      </c>
      <c r="V257" s="27">
        <f t="shared" ref="V257" si="498">V$165+$A256</f>
        <v>-0.97765599999999997</v>
      </c>
      <c r="W257" s="27">
        <f t="shared" ref="W257" si="499">W$165+$A256</f>
        <v>-0.965144</v>
      </c>
      <c r="X257" s="27">
        <f t="shared" ref="X257" si="500">X$165+$A256</f>
        <v>-0.96215499999999998</v>
      </c>
      <c r="Y257" s="27">
        <f t="shared" ref="Y257" si="501">Y$165+$A256</f>
        <v>-0.97175400000000001</v>
      </c>
      <c r="Z257" s="27">
        <f t="shared" ref="Z257" si="502">Z$165+$A256</f>
        <v>-0.92678499999999997</v>
      </c>
      <c r="AA257" s="27">
        <f t="shared" ref="AA257" si="503">AA$165+$A256</f>
        <v>-0.87972300000000003</v>
      </c>
      <c r="AB257" s="27">
        <f t="shared" ref="AB257" si="504">AB$165+$A256</f>
        <v>-0.788578</v>
      </c>
      <c r="AC257" s="27">
        <f t="shared" ref="AC257" si="505">AC$165+$A256</f>
        <v>-0.66576400000000002</v>
      </c>
      <c r="AD257" s="27">
        <f t="shared" ref="AD257" si="506">AD$165+$A256</f>
        <v>-0.5130300000000001</v>
      </c>
      <c r="AE257" s="27">
        <f t="shared" ref="AE257" si="507">AE$165+$A256</f>
        <v>-0.36566399999999999</v>
      </c>
      <c r="AF257" s="27">
        <f t="shared" ref="AF257" si="508">AF$165+$A256</f>
        <v>-0.23394400000000004</v>
      </c>
      <c r="AG257" s="27">
        <f t="shared" ref="AG257" si="509">AG$165+$A256</f>
        <v>-0.13305</v>
      </c>
      <c r="AH257" s="27">
        <f t="shared" ref="AH257" si="510">AH$165+$A256</f>
        <v>-8.7807999999999997E-2</v>
      </c>
      <c r="AI257" s="27">
        <f t="shared" ref="AI257" si="511">AI$165+$A256</f>
        <v>-5.2603999999999984E-2</v>
      </c>
      <c r="AJ257" s="27">
        <f t="shared" ref="AJ257" si="512">AJ$165+$A256</f>
        <v>-3.5015000000000018E-2</v>
      </c>
      <c r="AK257" s="27">
        <f t="shared" ref="AK257" si="513">AK$165+$A256</f>
        <v>-2.0843999999999974E-2</v>
      </c>
      <c r="AL257" s="27">
        <f t="shared" ref="AL257" si="514">AL$165+$A256</f>
        <v>-1.3148000000000049E-2</v>
      </c>
    </row>
    <row r="258" spans="1:38" ht="12.75" thickBot="1">
      <c r="A258" s="62"/>
      <c r="B258" s="62"/>
      <c r="C258" s="63"/>
      <c r="D258" s="63"/>
      <c r="E258" s="63"/>
      <c r="F258" s="63"/>
      <c r="G258" s="63"/>
      <c r="J258" s="38"/>
      <c r="K258" s="4">
        <f t="shared" si="493"/>
        <v>0</v>
      </c>
      <c r="L258" s="56" t="s">
        <v>61</v>
      </c>
      <c r="M258" s="38">
        <f>IF(D256&gt;0,_xll.BDP(I256,"ASK")/100,(_xll.BDP(I256,"ASK")/100)+D256)</f>
        <v>8.0000000000064048E-4</v>
      </c>
      <c r="N258" s="49"/>
      <c r="O258" s="43"/>
      <c r="P258" s="53"/>
      <c r="Q258" s="29" t="str">
        <f>$H256&amp;$H$179&amp;"_"&amp;Q$172&amp;$P$172</f>
        <v>149C_147P</v>
      </c>
      <c r="R258" s="29" t="str">
        <f t="shared" ref="R258:AL258" si="515">$H256&amp;$H$179&amp;"_"&amp;R$172&amp;$P$172</f>
        <v>149C_147.5P</v>
      </c>
      <c r="S258" s="29" t="str">
        <f t="shared" si="515"/>
        <v>149C_148P</v>
      </c>
      <c r="T258" s="29" t="str">
        <f t="shared" si="515"/>
        <v>149C_148.5P</v>
      </c>
      <c r="U258" s="29" t="str">
        <f t="shared" si="515"/>
        <v>149C_149P</v>
      </c>
      <c r="V258" s="29" t="str">
        <f t="shared" si="515"/>
        <v>149C_149.5P</v>
      </c>
      <c r="W258" s="29" t="str">
        <f t="shared" si="515"/>
        <v>149C_150P</v>
      </c>
      <c r="X258" s="29" t="str">
        <f t="shared" si="515"/>
        <v>149C_150.5P</v>
      </c>
      <c r="Y258" s="29" t="str">
        <f t="shared" si="515"/>
        <v>149C_151P</v>
      </c>
      <c r="Z258" s="29" t="str">
        <f t="shared" si="515"/>
        <v>149C_151.5P</v>
      </c>
      <c r="AA258" s="29" t="str">
        <f t="shared" si="515"/>
        <v>149C_152P</v>
      </c>
      <c r="AB258" s="29" t="str">
        <f t="shared" si="515"/>
        <v>149C_152.5P</v>
      </c>
      <c r="AC258" s="29" t="str">
        <f t="shared" si="515"/>
        <v>149C_153P</v>
      </c>
      <c r="AD258" s="29" t="str">
        <f t="shared" si="515"/>
        <v>149C_153.5P</v>
      </c>
      <c r="AE258" s="29" t="str">
        <f t="shared" si="515"/>
        <v>149C_154P</v>
      </c>
      <c r="AF258" s="29" t="str">
        <f t="shared" si="515"/>
        <v>149C_154.5P</v>
      </c>
      <c r="AG258" s="29" t="str">
        <f t="shared" si="515"/>
        <v>149C_155P</v>
      </c>
      <c r="AH258" s="29" t="str">
        <f t="shared" si="515"/>
        <v>149C_155.5P</v>
      </c>
      <c r="AI258" s="29" t="str">
        <f t="shared" si="515"/>
        <v>149C_156P</v>
      </c>
      <c r="AJ258" s="29" t="str">
        <f t="shared" si="515"/>
        <v>149C_156.5P</v>
      </c>
      <c r="AK258" s="29" t="str">
        <f t="shared" si="515"/>
        <v>149C_157P</v>
      </c>
      <c r="AL258" s="29" t="str">
        <f t="shared" si="515"/>
        <v>149C_157.5P</v>
      </c>
    </row>
    <row r="259" spans="1:38" ht="12.75" thickTop="1">
      <c r="A259" s="62"/>
      <c r="B259" s="62"/>
      <c r="C259" s="63"/>
      <c r="D259" s="63"/>
      <c r="E259" s="63"/>
      <c r="F259" s="63"/>
      <c r="G259" s="63"/>
      <c r="J259" s="38"/>
      <c r="K259" s="4">
        <f t="shared" si="493"/>
        <v>0</v>
      </c>
      <c r="M259" s="38"/>
      <c r="N259" s="49"/>
      <c r="O259" s="43"/>
      <c r="P259" s="53"/>
      <c r="Q259" s="64"/>
      <c r="R259" s="64"/>
      <c r="S259" s="64"/>
      <c r="T259" s="64"/>
      <c r="U259" s="64"/>
      <c r="V259" s="64"/>
      <c r="W259" s="64"/>
      <c r="X259" s="64"/>
      <c r="Y259" s="64"/>
      <c r="Z259" s="64"/>
      <c r="AA259" s="64"/>
      <c r="AB259" s="64"/>
      <c r="AC259" s="64"/>
      <c r="AD259" s="64"/>
      <c r="AE259" s="64"/>
      <c r="AF259" s="64"/>
      <c r="AG259" s="64"/>
      <c r="AH259" s="64"/>
      <c r="AI259" s="64"/>
      <c r="AJ259" s="64"/>
      <c r="AK259" s="64"/>
      <c r="AL259" s="64"/>
    </row>
    <row r="260" spans="1:38">
      <c r="A260" s="62">
        <f>_xll.BDP($I260, A$179)/-1</f>
        <v>-1</v>
      </c>
      <c r="B260" s="62">
        <f>_xll.BDP($I260, B$179)/100</f>
        <v>0.13611019999999999</v>
      </c>
      <c r="C260" s="63">
        <f ca="1">B260*(MIN(SQRT(1/365),(SQRT(($B$174/365)))))</f>
        <v>7.1243334788538499E-3</v>
      </c>
      <c r="D260" s="63">
        <f>(H260-$B$164)/100</f>
        <v>-5.0699999999999648E-2</v>
      </c>
      <c r="E260" s="63">
        <f ca="1">ABS(D260/$E$173)</f>
        <v>6.9716895634520082</v>
      </c>
      <c r="F260" s="63">
        <f ca="1">1-_xlfn.NORM.S.DIST(E260,1)</f>
        <v>1.5657475316288583E-12</v>
      </c>
      <c r="G260" s="63">
        <f ca="1">IF(D260&gt;0,0,0.25*$B$176)</f>
        <v>2.6559039438231819E-5</v>
      </c>
      <c r="H260" s="4">
        <v>148.50000000000003</v>
      </c>
      <c r="I260" t="str">
        <f>($I$179&amp;" "&amp;H260&amp;" COMB Curncy")</f>
        <v>3BV5C 148.5 COMB Curncy</v>
      </c>
      <c r="J260" s="38">
        <f ca="1">-1*CGBlackScholes("t","c",B$164,H260,$B$174/365,$B$166,$B$165,B260)/100</f>
        <v>2.3743732695821003E-4</v>
      </c>
      <c r="K260" s="4">
        <f ca="1">J260*P260</f>
        <v>0</v>
      </c>
      <c r="L260" s="56">
        <f ca="1">CGBlackScholes("g","c",B$164,H260,$B$174/365,$B$166,$B$165,B260)</f>
        <v>3.9909470485400007E-2</v>
      </c>
      <c r="M260" s="38">
        <f ca="1">((M261+M262)/2)/$B$174</f>
        <v>3.1329360664768333E-17</v>
      </c>
      <c r="N260" s="49">
        <f ca="1">(MIN($J260,$M260) - $B$172*$B$173/10000*$F260)*10000</f>
        <v>-1.8757641018881529E-10</v>
      </c>
      <c r="O260" s="43" t="str">
        <f>ROUND((($M262*10000)+$B$173),0)&amp;" ticks"</f>
        <v>20 ticks</v>
      </c>
      <c r="P260" s="53">
        <f>SUM(Q259:AL259)</f>
        <v>0</v>
      </c>
      <c r="Q260" s="27" t="e">
        <f ca="1">(MIN(($J260+Q$174),($M260+Q$179))- $B$176 - (($B$172*$B$176)*MAX($F260,Q$170))-($G260+Q$171))* 10000</f>
        <v>#VALUE!</v>
      </c>
      <c r="R260" s="27" t="e">
        <f t="shared" ref="R260:AL260" ca="1" si="516">(MIN(($J260+R$174),($M260+R$179))- $B$176 - (($B$172*$B$176)*MAX($F260,R$170))-($G260+R$171))* 10000</f>
        <v>#VALUE!</v>
      </c>
      <c r="S260" s="27" t="e">
        <f t="shared" ca="1" si="516"/>
        <v>#VALUE!</v>
      </c>
      <c r="T260" s="27" t="e">
        <f t="shared" ca="1" si="516"/>
        <v>#VALUE!</v>
      </c>
      <c r="U260" s="27" t="e">
        <f t="shared" ca="1" si="516"/>
        <v>#VALUE!</v>
      </c>
      <c r="V260" s="27" t="e">
        <f t="shared" ca="1" si="516"/>
        <v>#VALUE!</v>
      </c>
      <c r="W260" s="27" t="e">
        <f t="shared" ca="1" si="516"/>
        <v>#VALUE!</v>
      </c>
      <c r="X260" s="27" t="e">
        <f t="shared" ca="1" si="516"/>
        <v>#VALUE!</v>
      </c>
      <c r="Y260" s="27">
        <f t="shared" ca="1" si="516"/>
        <v>-1.1530661675523344</v>
      </c>
      <c r="Z260" s="27">
        <f t="shared" ca="1" si="516"/>
        <v>-0.99731628865348332</v>
      </c>
      <c r="AA260" s="27">
        <f t="shared" ca="1" si="516"/>
        <v>-0.87215814809399439</v>
      </c>
      <c r="AB260" s="27">
        <f t="shared" ca="1" si="516"/>
        <v>-0.79428406760946446</v>
      </c>
      <c r="AC260" s="27">
        <f t="shared" ca="1" si="516"/>
        <v>-1.2384895218137628</v>
      </c>
      <c r="AD260" s="27">
        <f t="shared" ca="1" si="516"/>
        <v>-2.115784449715691</v>
      </c>
      <c r="AE260" s="27">
        <f t="shared" ca="1" si="516"/>
        <v>-1.660796673866231</v>
      </c>
      <c r="AF260" s="27">
        <f t="shared" ca="1" si="516"/>
        <v>-1.1117084773857766</v>
      </c>
      <c r="AG260" s="27">
        <f t="shared" ca="1" si="516"/>
        <v>-0.92561135096674629</v>
      </c>
      <c r="AH260" s="27">
        <f t="shared" ca="1" si="516"/>
        <v>-1.1488891488248303</v>
      </c>
      <c r="AI260" s="27">
        <f t="shared" ca="1" si="516"/>
        <v>-1.3323787699358558</v>
      </c>
      <c r="AJ260" s="27">
        <f t="shared" ca="1" si="516"/>
        <v>-1.4167796371684653</v>
      </c>
      <c r="AK260" s="27">
        <f t="shared" ca="1" si="516"/>
        <v>-1.5050249768277038</v>
      </c>
      <c r="AL260" s="27">
        <f t="shared" ca="1" si="516"/>
        <v>-1.5492776465656681</v>
      </c>
    </row>
    <row r="261" spans="1:38">
      <c r="A261" s="62"/>
      <c r="B261" s="62"/>
      <c r="C261" s="63"/>
      <c r="D261" s="63"/>
      <c r="E261" s="63"/>
      <c r="F261" s="63"/>
      <c r="G261" s="63"/>
      <c r="J261" s="38"/>
      <c r="K261" s="4">
        <f t="shared" ref="K261:K263" si="517">J261*P261</f>
        <v>0</v>
      </c>
      <c r="L261" s="56" t="s">
        <v>60</v>
      </c>
      <c r="M261" s="38">
        <f>IF(D260&gt;0,_xll.BDP(I260,"BID")/100,(_xll.BDP(I260,"BID")/100)+D260)</f>
        <v>-7.9999999999964821E-4</v>
      </c>
      <c r="N261" s="49"/>
      <c r="O261" s="43"/>
      <c r="P261" s="53"/>
      <c r="Q261" s="27">
        <f>Q$165+$A260</f>
        <v>-0.98997999999999997</v>
      </c>
      <c r="R261" s="27">
        <f t="shared" ref="R261" si="518">R$165+$A260</f>
        <v>-0.98930899999999999</v>
      </c>
      <c r="S261" s="27">
        <f t="shared" ref="S261" si="519">S$165+$A260</f>
        <v>-0.98851900000000004</v>
      </c>
      <c r="T261" s="27">
        <f t="shared" ref="T261" si="520">T$165+$A260</f>
        <v>-0.98768199999999995</v>
      </c>
      <c r="U261" s="27">
        <f t="shared" ref="U261" si="521">U$165+$A260</f>
        <v>-0.98677999999999999</v>
      </c>
      <c r="V261" s="27">
        <f t="shared" ref="V261" si="522">V$165+$A260</f>
        <v>-0.98554699999999995</v>
      </c>
      <c r="W261" s="27">
        <f t="shared" ref="W261" si="523">W$165+$A260</f>
        <v>-0.97303499999999998</v>
      </c>
      <c r="X261" s="27">
        <f t="shared" ref="X261" si="524">X$165+$A260</f>
        <v>-0.97004599999999996</v>
      </c>
      <c r="Y261" s="27">
        <f t="shared" ref="Y261" si="525">Y$165+$A260</f>
        <v>-0.97964499999999999</v>
      </c>
      <c r="Z261" s="27">
        <f t="shared" ref="Z261" si="526">Z$165+$A260</f>
        <v>-0.93467600000000006</v>
      </c>
      <c r="AA261" s="27">
        <f t="shared" ref="AA261" si="527">AA$165+$A260</f>
        <v>-0.88761400000000001</v>
      </c>
      <c r="AB261" s="27">
        <f t="shared" ref="AB261" si="528">AB$165+$A260</f>
        <v>-0.79646899999999998</v>
      </c>
      <c r="AC261" s="27">
        <f t="shared" ref="AC261" si="529">AC$165+$A260</f>
        <v>-0.673655</v>
      </c>
      <c r="AD261" s="27">
        <f t="shared" ref="AD261" si="530">AD$165+$A260</f>
        <v>-0.52092099999999997</v>
      </c>
      <c r="AE261" s="27">
        <f t="shared" ref="AE261" si="531">AE$165+$A260</f>
        <v>-0.37355499999999997</v>
      </c>
      <c r="AF261" s="27">
        <f t="shared" ref="AF261" si="532">AF$165+$A260</f>
        <v>-0.24183500000000002</v>
      </c>
      <c r="AG261" s="27">
        <f t="shared" ref="AG261" si="533">AG$165+$A260</f>
        <v>-0.14094099999999998</v>
      </c>
      <c r="AH261" s="27">
        <f t="shared" ref="AH261" si="534">AH$165+$A260</f>
        <v>-9.5698999999999979E-2</v>
      </c>
      <c r="AI261" s="27">
        <f t="shared" ref="AI261" si="535">AI$165+$A260</f>
        <v>-6.0494999999999965E-2</v>
      </c>
      <c r="AJ261" s="27">
        <f t="shared" ref="AJ261" si="536">AJ$165+$A260</f>
        <v>-4.2906E-2</v>
      </c>
      <c r="AK261" s="27">
        <f t="shared" ref="AK261" si="537">AK$165+$A260</f>
        <v>-2.8734999999999955E-2</v>
      </c>
      <c r="AL261" s="27">
        <f t="shared" ref="AL261" si="538">AL$165+$A260</f>
        <v>-2.103900000000003E-2</v>
      </c>
    </row>
    <row r="262" spans="1:38" ht="12.75" thickBot="1">
      <c r="A262" s="62"/>
      <c r="B262" s="62"/>
      <c r="C262" s="63"/>
      <c r="D262" s="63"/>
      <c r="E262" s="63"/>
      <c r="F262" s="63"/>
      <c r="G262" s="63"/>
      <c r="J262" s="38"/>
      <c r="K262" s="4">
        <f t="shared" si="517"/>
        <v>0</v>
      </c>
      <c r="L262" s="56" t="s">
        <v>61</v>
      </c>
      <c r="M262" s="38">
        <f>IF(D260&gt;0,_xll.BDP(I260,"ASK")/100,(_xll.BDP(I260,"ASK")/100)+D260)</f>
        <v>8.0000000000035598E-4</v>
      </c>
      <c r="N262" s="49"/>
      <c r="O262" s="43"/>
      <c r="P262" s="53"/>
      <c r="Q262" s="29" t="str">
        <f>$H260&amp;$H$179&amp;"_"&amp;Q$172&amp;$P$172</f>
        <v>148.5C_147P</v>
      </c>
      <c r="R262" s="29" t="str">
        <f t="shared" ref="R262:AL262" si="539">$H260&amp;$H$179&amp;"_"&amp;R$172&amp;$P$172</f>
        <v>148.5C_147.5P</v>
      </c>
      <c r="S262" s="29" t="str">
        <f t="shared" si="539"/>
        <v>148.5C_148P</v>
      </c>
      <c r="T262" s="29" t="str">
        <f t="shared" si="539"/>
        <v>148.5C_148.5P</v>
      </c>
      <c r="U262" s="29" t="str">
        <f t="shared" si="539"/>
        <v>148.5C_149P</v>
      </c>
      <c r="V262" s="29" t="str">
        <f t="shared" si="539"/>
        <v>148.5C_149.5P</v>
      </c>
      <c r="W262" s="29" t="str">
        <f t="shared" si="539"/>
        <v>148.5C_150P</v>
      </c>
      <c r="X262" s="29" t="str">
        <f t="shared" si="539"/>
        <v>148.5C_150.5P</v>
      </c>
      <c r="Y262" s="29" t="str">
        <f t="shared" si="539"/>
        <v>148.5C_151P</v>
      </c>
      <c r="Z262" s="29" t="str">
        <f t="shared" si="539"/>
        <v>148.5C_151.5P</v>
      </c>
      <c r="AA262" s="29" t="str">
        <f t="shared" si="539"/>
        <v>148.5C_152P</v>
      </c>
      <c r="AB262" s="29" t="str">
        <f t="shared" si="539"/>
        <v>148.5C_152.5P</v>
      </c>
      <c r="AC262" s="29" t="str">
        <f t="shared" si="539"/>
        <v>148.5C_153P</v>
      </c>
      <c r="AD262" s="29" t="str">
        <f t="shared" si="539"/>
        <v>148.5C_153.5P</v>
      </c>
      <c r="AE262" s="29" t="str">
        <f t="shared" si="539"/>
        <v>148.5C_154P</v>
      </c>
      <c r="AF262" s="29" t="str">
        <f t="shared" si="539"/>
        <v>148.5C_154.5P</v>
      </c>
      <c r="AG262" s="29" t="str">
        <f t="shared" si="539"/>
        <v>148.5C_155P</v>
      </c>
      <c r="AH262" s="29" t="str">
        <f t="shared" si="539"/>
        <v>148.5C_155.5P</v>
      </c>
      <c r="AI262" s="29" t="str">
        <f t="shared" si="539"/>
        <v>148.5C_156P</v>
      </c>
      <c r="AJ262" s="29" t="str">
        <f t="shared" si="539"/>
        <v>148.5C_156.5P</v>
      </c>
      <c r="AK262" s="29" t="str">
        <f t="shared" si="539"/>
        <v>148.5C_157P</v>
      </c>
      <c r="AL262" s="29" t="str">
        <f t="shared" si="539"/>
        <v>148.5C_157.5P</v>
      </c>
    </row>
    <row r="263" spans="1:38" ht="12.75" thickTop="1">
      <c r="A263" s="62"/>
      <c r="B263" s="62"/>
      <c r="C263" s="63"/>
      <c r="D263" s="63"/>
      <c r="E263" s="63"/>
      <c r="F263" s="63"/>
      <c r="G263" s="63"/>
      <c r="J263" s="38"/>
      <c r="K263" s="4">
        <f t="shared" si="517"/>
        <v>0</v>
      </c>
      <c r="M263" s="38"/>
      <c r="N263" s="49"/>
      <c r="O263" s="43"/>
      <c r="P263" s="53"/>
      <c r="Q263" s="64"/>
      <c r="R263" s="64"/>
      <c r="S263" s="64"/>
      <c r="T263" s="64"/>
      <c r="U263" s="64"/>
      <c r="V263" s="64"/>
      <c r="W263" s="64"/>
      <c r="X263" s="64"/>
      <c r="Y263" s="64"/>
      <c r="Z263" s="64"/>
      <c r="AA263" s="64"/>
      <c r="AB263" s="64"/>
      <c r="AC263" s="64"/>
      <c r="AD263" s="64"/>
      <c r="AE263" s="64"/>
      <c r="AF263" s="64"/>
      <c r="AG263" s="64"/>
      <c r="AH263" s="64"/>
      <c r="AI263" s="64"/>
      <c r="AJ263" s="64"/>
      <c r="AK263" s="64"/>
      <c r="AL263" s="64"/>
    </row>
    <row r="264" spans="1:38">
      <c r="A264" s="62">
        <f>_xll.BDP($I264, A$179)/-1</f>
        <v>-1</v>
      </c>
      <c r="B264" s="62">
        <f>_xll.BDP($I264, B$179)/100</f>
        <v>0.14826978000000002</v>
      </c>
      <c r="C264" s="63">
        <f ca="1">B264*(MIN(SQRT(1/365),(SQRT(($B$174/365)))))</f>
        <v>7.7607949849188024E-3</v>
      </c>
      <c r="D264" s="63">
        <f>(H264-$B$164)/100</f>
        <v>-5.5699999999999646E-2</v>
      </c>
      <c r="E264" s="63">
        <f ca="1">ABS(D264/$E$173)</f>
        <v>7.6592329129048737</v>
      </c>
      <c r="F264" s="63">
        <f ca="1">1-_xlfn.NORM.S.DIST(E264,1)</f>
        <v>9.3258734068513149E-15</v>
      </c>
      <c r="G264" s="63">
        <f ca="1">IF(D264&gt;0,0,0.25*$B$176)</f>
        <v>2.6559039438231819E-5</v>
      </c>
      <c r="H264" s="4">
        <v>148.00000000000003</v>
      </c>
      <c r="I264" t="str">
        <f>($I$179&amp;" "&amp;H264&amp;" COMB Curncy")</f>
        <v>3BV5C 148 COMB Curncy</v>
      </c>
      <c r="J264" s="38">
        <f ca="1">-1*CGBlackScholes("t","c",B$164,H264,$B$174/365,$B$166,$B$165,B264)/100</f>
        <v>2.5300588359309577E-4</v>
      </c>
      <c r="K264" s="4">
        <f ca="1">J264*P264</f>
        <v>0</v>
      </c>
      <c r="L264" s="56">
        <f ca="1">CGBlackScholes("g","c",B$164,H264,$B$174/365,$B$166,$B$165,B264)</f>
        <v>3.5843566379203572E-2</v>
      </c>
      <c r="M264" s="38">
        <f ca="1">((M265+M266)/2)/$B$174</f>
        <v>3.1636511259520966E-17</v>
      </c>
      <c r="N264" s="49">
        <f ca="1">(MIN($J264,$M264) - $B$172*$B$173/10000*$F264)*10000</f>
        <v>-8.0273969622694811E-13</v>
      </c>
      <c r="O264" s="43" t="str">
        <f>ROUND((($M266*10000)+$B$173),0)&amp;" ticks"</f>
        <v>20 ticks</v>
      </c>
      <c r="P264" s="53">
        <f>SUM(Q263:AL263)</f>
        <v>0</v>
      </c>
      <c r="Q264" s="27" t="e">
        <f ca="1">(MIN(($J264+Q$174),($M264+Q$179))- $B$176 - (($B$172*$B$176)*MAX($F264,Q$170))-($G264+Q$171))* 10000</f>
        <v>#VALUE!</v>
      </c>
      <c r="R264" s="27" t="e">
        <f t="shared" ref="R264:AL264" ca="1" si="540">(MIN(($J264+R$174),($M264+R$179))- $B$176 - (($B$172*$B$176)*MAX($F264,R$170))-($G264+R$171))* 10000</f>
        <v>#VALUE!</v>
      </c>
      <c r="S264" s="27" t="e">
        <f t="shared" ca="1" si="540"/>
        <v>#VALUE!</v>
      </c>
      <c r="T264" s="27" t="e">
        <f t="shared" ca="1" si="540"/>
        <v>#VALUE!</v>
      </c>
      <c r="U264" s="27" t="e">
        <f t="shared" ca="1" si="540"/>
        <v>#VALUE!</v>
      </c>
      <c r="V264" s="27" t="e">
        <f t="shared" ca="1" si="540"/>
        <v>#VALUE!</v>
      </c>
      <c r="W264" s="27" t="e">
        <f t="shared" ca="1" si="540"/>
        <v>#VALUE!</v>
      </c>
      <c r="X264" s="27" t="e">
        <f t="shared" ca="1" si="540"/>
        <v>#VALUE!</v>
      </c>
      <c r="Y264" s="27">
        <f t="shared" ca="1" si="540"/>
        <v>-1.1530661675523313</v>
      </c>
      <c r="Z264" s="27">
        <f t="shared" ca="1" si="540"/>
        <v>-0.99731628865348032</v>
      </c>
      <c r="AA264" s="27">
        <f t="shared" ca="1" si="540"/>
        <v>-0.87215814809399139</v>
      </c>
      <c r="AB264" s="27">
        <f t="shared" ca="1" si="540"/>
        <v>-0.79428406760946146</v>
      </c>
      <c r="AC264" s="27">
        <f t="shared" ca="1" si="540"/>
        <v>-1.2384895218137602</v>
      </c>
      <c r="AD264" s="27">
        <f t="shared" ca="1" si="540"/>
        <v>-2.1157844497156879</v>
      </c>
      <c r="AE264" s="27">
        <f t="shared" ca="1" si="540"/>
        <v>-1.6607966738662276</v>
      </c>
      <c r="AF264" s="27">
        <f t="shared" ca="1" si="540"/>
        <v>-1.1117084773857737</v>
      </c>
      <c r="AG264" s="27">
        <f t="shared" ca="1" si="540"/>
        <v>-0.92561135096674341</v>
      </c>
      <c r="AH264" s="27">
        <f t="shared" ca="1" si="540"/>
        <v>-1.1488891488248274</v>
      </c>
      <c r="AI264" s="27">
        <f t="shared" ca="1" si="540"/>
        <v>-1.3323787699358525</v>
      </c>
      <c r="AJ264" s="27">
        <f t="shared" ca="1" si="540"/>
        <v>-1.416779637168462</v>
      </c>
      <c r="AK264" s="27">
        <f t="shared" ca="1" si="540"/>
        <v>-1.5050249768277009</v>
      </c>
      <c r="AL264" s="27">
        <f t="shared" ca="1" si="540"/>
        <v>-1.5492776465656652</v>
      </c>
    </row>
    <row r="265" spans="1:38">
      <c r="A265" s="62"/>
      <c r="B265" s="62"/>
      <c r="C265" s="63"/>
      <c r="D265" s="63"/>
      <c r="E265" s="63"/>
      <c r="F265" s="63"/>
      <c r="G265" s="63"/>
      <c r="J265" s="38"/>
      <c r="K265" s="4">
        <f t="shared" ref="K265:K267" si="541">J265*P265</f>
        <v>0</v>
      </c>
      <c r="L265" s="56" t="s">
        <v>60</v>
      </c>
      <c r="M265" s="38">
        <f>IF(D264&gt;0,_xll.BDP(I264,"BID")/100,(_xll.BDP(I264,"BID")/100)+D264)</f>
        <v>-7.9999999999964128E-4</v>
      </c>
      <c r="N265" s="49"/>
      <c r="O265" s="43"/>
      <c r="P265" s="53"/>
      <c r="Q265" s="27">
        <f>Q$165+$A264</f>
        <v>-0.98997999999999997</v>
      </c>
      <c r="R265" s="27">
        <f t="shared" ref="R265" si="542">R$165+$A264</f>
        <v>-0.98930899999999999</v>
      </c>
      <c r="S265" s="27">
        <f t="shared" ref="S265" si="543">S$165+$A264</f>
        <v>-0.98851900000000004</v>
      </c>
      <c r="T265" s="27">
        <f t="shared" ref="T265" si="544">T$165+$A264</f>
        <v>-0.98768199999999995</v>
      </c>
      <c r="U265" s="27">
        <f t="shared" ref="U265" si="545">U$165+$A264</f>
        <v>-0.98677999999999999</v>
      </c>
      <c r="V265" s="27">
        <f t="shared" ref="V265" si="546">V$165+$A264</f>
        <v>-0.98554699999999995</v>
      </c>
      <c r="W265" s="27">
        <f t="shared" ref="W265" si="547">W$165+$A264</f>
        <v>-0.97303499999999998</v>
      </c>
      <c r="X265" s="27">
        <f t="shared" ref="X265" si="548">X$165+$A264</f>
        <v>-0.97004599999999996</v>
      </c>
      <c r="Y265" s="27">
        <f t="shared" ref="Y265" si="549">Y$165+$A264</f>
        <v>-0.97964499999999999</v>
      </c>
      <c r="Z265" s="27">
        <f t="shared" ref="Z265" si="550">Z$165+$A264</f>
        <v>-0.93467600000000006</v>
      </c>
      <c r="AA265" s="27">
        <f t="shared" ref="AA265" si="551">AA$165+$A264</f>
        <v>-0.88761400000000001</v>
      </c>
      <c r="AB265" s="27">
        <f t="shared" ref="AB265" si="552">AB$165+$A264</f>
        <v>-0.79646899999999998</v>
      </c>
      <c r="AC265" s="27">
        <f t="shared" ref="AC265" si="553">AC$165+$A264</f>
        <v>-0.673655</v>
      </c>
      <c r="AD265" s="27">
        <f t="shared" ref="AD265" si="554">AD$165+$A264</f>
        <v>-0.52092099999999997</v>
      </c>
      <c r="AE265" s="27">
        <f t="shared" ref="AE265" si="555">AE$165+$A264</f>
        <v>-0.37355499999999997</v>
      </c>
      <c r="AF265" s="27">
        <f t="shared" ref="AF265" si="556">AF$165+$A264</f>
        <v>-0.24183500000000002</v>
      </c>
      <c r="AG265" s="27">
        <f t="shared" ref="AG265" si="557">AG$165+$A264</f>
        <v>-0.14094099999999998</v>
      </c>
      <c r="AH265" s="27">
        <f t="shared" ref="AH265" si="558">AH$165+$A264</f>
        <v>-9.5698999999999979E-2</v>
      </c>
      <c r="AI265" s="27">
        <f t="shared" ref="AI265" si="559">AI$165+$A264</f>
        <v>-6.0494999999999965E-2</v>
      </c>
      <c r="AJ265" s="27">
        <f t="shared" ref="AJ265" si="560">AJ$165+$A264</f>
        <v>-4.2906E-2</v>
      </c>
      <c r="AK265" s="27">
        <f t="shared" ref="AK265" si="561">AK$165+$A264</f>
        <v>-2.8734999999999955E-2</v>
      </c>
      <c r="AL265" s="27">
        <f t="shared" ref="AL265" si="562">AL$165+$A264</f>
        <v>-2.103900000000003E-2</v>
      </c>
    </row>
    <row r="266" spans="1:38" ht="12.75" thickBot="1">
      <c r="A266" s="62"/>
      <c r="B266" s="62"/>
      <c r="C266" s="63"/>
      <c r="D266" s="63"/>
      <c r="E266" s="63"/>
      <c r="F266" s="63"/>
      <c r="G266" s="63"/>
      <c r="J266" s="38"/>
      <c r="K266" s="4">
        <f t="shared" si="541"/>
        <v>0</v>
      </c>
      <c r="L266" s="56" t="s">
        <v>61</v>
      </c>
      <c r="M266" s="38">
        <f>IF(D264&gt;0,_xll.BDP(I264,"ASK")/100,(_xll.BDP(I264,"ASK")/100)+D264)</f>
        <v>8.0000000000035598E-4</v>
      </c>
      <c r="N266" s="49"/>
      <c r="O266" s="43"/>
      <c r="P266" s="53"/>
      <c r="Q266" s="29" t="str">
        <f>$H264&amp;$H$179&amp;"_"&amp;Q$172&amp;$P$172</f>
        <v>148C_147P</v>
      </c>
      <c r="R266" s="29" t="str">
        <f t="shared" ref="R266:AL266" si="563">$H264&amp;$H$179&amp;"_"&amp;R$172&amp;$P$172</f>
        <v>148C_147.5P</v>
      </c>
      <c r="S266" s="29" t="str">
        <f t="shared" si="563"/>
        <v>148C_148P</v>
      </c>
      <c r="T266" s="29" t="str">
        <f t="shared" si="563"/>
        <v>148C_148.5P</v>
      </c>
      <c r="U266" s="29" t="str">
        <f t="shared" si="563"/>
        <v>148C_149P</v>
      </c>
      <c r="V266" s="29" t="str">
        <f t="shared" si="563"/>
        <v>148C_149.5P</v>
      </c>
      <c r="W266" s="29" t="str">
        <f t="shared" si="563"/>
        <v>148C_150P</v>
      </c>
      <c r="X266" s="29" t="str">
        <f t="shared" si="563"/>
        <v>148C_150.5P</v>
      </c>
      <c r="Y266" s="29" t="str">
        <f t="shared" si="563"/>
        <v>148C_151P</v>
      </c>
      <c r="Z266" s="29" t="str">
        <f t="shared" si="563"/>
        <v>148C_151.5P</v>
      </c>
      <c r="AA266" s="29" t="str">
        <f t="shared" si="563"/>
        <v>148C_152P</v>
      </c>
      <c r="AB266" s="29" t="str">
        <f t="shared" si="563"/>
        <v>148C_152.5P</v>
      </c>
      <c r="AC266" s="29" t="str">
        <f t="shared" si="563"/>
        <v>148C_153P</v>
      </c>
      <c r="AD266" s="29" t="str">
        <f t="shared" si="563"/>
        <v>148C_153.5P</v>
      </c>
      <c r="AE266" s="29" t="str">
        <f t="shared" si="563"/>
        <v>148C_154P</v>
      </c>
      <c r="AF266" s="29" t="str">
        <f t="shared" si="563"/>
        <v>148C_154.5P</v>
      </c>
      <c r="AG266" s="29" t="str">
        <f t="shared" si="563"/>
        <v>148C_155P</v>
      </c>
      <c r="AH266" s="29" t="str">
        <f t="shared" si="563"/>
        <v>148C_155.5P</v>
      </c>
      <c r="AI266" s="29" t="str">
        <f t="shared" si="563"/>
        <v>148C_156P</v>
      </c>
      <c r="AJ266" s="29" t="str">
        <f t="shared" si="563"/>
        <v>148C_156.5P</v>
      </c>
      <c r="AK266" s="29" t="str">
        <f t="shared" si="563"/>
        <v>148C_157P</v>
      </c>
      <c r="AL266" s="29" t="str">
        <f t="shared" si="563"/>
        <v>148C_157.5P</v>
      </c>
    </row>
    <row r="267" spans="1:38" ht="12.75" thickTop="1">
      <c r="A267" s="62"/>
      <c r="B267" s="62"/>
      <c r="C267" s="63"/>
      <c r="D267" s="63"/>
      <c r="E267" s="63"/>
      <c r="F267" s="63"/>
      <c r="G267" s="63"/>
      <c r="J267" s="38"/>
      <c r="K267" s="4">
        <f t="shared" si="541"/>
        <v>0</v>
      </c>
      <c r="M267" s="38"/>
      <c r="N267" s="49"/>
      <c r="O267" s="43"/>
      <c r="P267" s="53"/>
      <c r="Q267" s="64"/>
      <c r="R267" s="64"/>
      <c r="S267" s="64"/>
      <c r="T267" s="64"/>
      <c r="U267" s="64"/>
      <c r="V267" s="64"/>
      <c r="W267" s="64"/>
      <c r="X267" s="64"/>
      <c r="Y267" s="64"/>
      <c r="Z267" s="64"/>
      <c r="AA267" s="64"/>
      <c r="AB267" s="64"/>
      <c r="AC267" s="64"/>
      <c r="AD267" s="64"/>
      <c r="AE267" s="64"/>
      <c r="AF267" s="64"/>
      <c r="AG267" s="64"/>
      <c r="AH267" s="64"/>
      <c r="AI267" s="64"/>
      <c r="AJ267" s="64"/>
      <c r="AK267" s="64"/>
      <c r="AL267" s="64"/>
    </row>
    <row r="268" spans="1:38">
      <c r="A268" s="62">
        <f>_xll.BDP($I268, A$179)/-1</f>
        <v>-1</v>
      </c>
      <c r="B268" s="62">
        <f>_xll.BDP($I268, B$179)/100</f>
        <v>0.16037218</v>
      </c>
      <c r="C268" s="63">
        <f ca="1">B268*(MIN(SQRT(1/365),(SQRT(($B$174/365)))))</f>
        <v>8.394263552994382E-3</v>
      </c>
      <c r="D268" s="63">
        <f>(H268-$B$164)/100</f>
        <v>-6.0699999999999935E-2</v>
      </c>
      <c r="E268" s="63">
        <f ca="1">ABS(D268/$E$173)</f>
        <v>8.3467762623577784</v>
      </c>
      <c r="F268" s="63">
        <f ca="1">1-_xlfn.NORM.S.DIST(E268,1)</f>
        <v>0</v>
      </c>
      <c r="G268" s="63">
        <f ca="1">IF(D268&gt;0,0,0.25*$B$176)</f>
        <v>2.6559039438231819E-5</v>
      </c>
      <c r="H268" s="4">
        <v>147.5</v>
      </c>
      <c r="I268" t="str">
        <f>($I$179&amp;" "&amp;H268&amp;" COMB Curncy")</f>
        <v>3BV5C 147.5 COMB Curncy</v>
      </c>
      <c r="J268" s="38">
        <f ca="1">-1*CGBlackScholes("t","c",B$164,H268,$B$174/365,$B$166,$B$165,B268)/100</f>
        <v>2.6811415571045881E-4</v>
      </c>
      <c r="K268" s="4">
        <f ca="1">J268*P268</f>
        <v>0</v>
      </c>
      <c r="L268" s="56">
        <f ca="1">CGBlackScholes("g","c",B$164,H268,$B$174/365,$B$166,$B$165,B268)</f>
        <v>3.2472871609908978E-2</v>
      </c>
      <c r="M268" s="38">
        <f ca="1">((M269+M270)/2)/$B$174</f>
        <v>6.1430118950526144E-18</v>
      </c>
      <c r="N268" s="49">
        <f ca="1">(MIN($J268,$M268) - $B$172*$B$173/10000*$F268)*10000</f>
        <v>6.1430118950526147E-14</v>
      </c>
      <c r="O268" s="43" t="str">
        <f>ROUND((($M270*10000)+$B$173),0)&amp;" ticks"</f>
        <v>20 ticks</v>
      </c>
      <c r="P268" s="53">
        <f>SUM(Q267:AL267)</f>
        <v>0</v>
      </c>
      <c r="Q268" s="27" t="e">
        <f ca="1">(MIN(($J268+Q$174),($M268+Q$179))- $B$176 - (($B$172*$B$176)*MAX($F268,Q$170))-($G268+Q$171))* 10000</f>
        <v>#VALUE!</v>
      </c>
      <c r="R268" s="27" t="e">
        <f t="shared" ref="R268:AL268" ca="1" si="564">(MIN(($J268+R$174),($M268+R$179))- $B$176 - (($B$172*$B$176)*MAX($F268,R$170))-($G268+R$171))* 10000</f>
        <v>#VALUE!</v>
      </c>
      <c r="S268" s="27" t="e">
        <f t="shared" ca="1" si="564"/>
        <v>#VALUE!</v>
      </c>
      <c r="T268" s="27" t="e">
        <f t="shared" ca="1" si="564"/>
        <v>#VALUE!</v>
      </c>
      <c r="U268" s="27" t="e">
        <f t="shared" ca="1" si="564"/>
        <v>#VALUE!</v>
      </c>
      <c r="V268" s="27" t="e">
        <f t="shared" ca="1" si="564"/>
        <v>#VALUE!</v>
      </c>
      <c r="W268" s="27" t="e">
        <f t="shared" ca="1" si="564"/>
        <v>#VALUE!</v>
      </c>
      <c r="X268" s="27" t="e">
        <f t="shared" ca="1" si="564"/>
        <v>#VALUE!</v>
      </c>
      <c r="Y268" s="27">
        <f t="shared" ca="1" si="564"/>
        <v>-1.1530661675525862</v>
      </c>
      <c r="Z268" s="27">
        <f t="shared" ca="1" si="564"/>
        <v>-0.99731628865373512</v>
      </c>
      <c r="AA268" s="27">
        <f t="shared" ca="1" si="564"/>
        <v>-0.8721581480942463</v>
      </c>
      <c r="AB268" s="27">
        <f t="shared" ca="1" si="564"/>
        <v>-0.79428406760971626</v>
      </c>
      <c r="AC268" s="27">
        <f t="shared" ca="1" si="564"/>
        <v>-1.2384895218140148</v>
      </c>
      <c r="AD268" s="27">
        <f t="shared" ca="1" si="564"/>
        <v>-2.1157844497159433</v>
      </c>
      <c r="AE268" s="27">
        <f t="shared" ca="1" si="564"/>
        <v>-1.660796673866483</v>
      </c>
      <c r="AF268" s="27">
        <f t="shared" ca="1" si="564"/>
        <v>-1.1117084773860284</v>
      </c>
      <c r="AG268" s="27">
        <f t="shared" ca="1" si="564"/>
        <v>-0.9256113509669982</v>
      </c>
      <c r="AH268" s="27">
        <f t="shared" ca="1" si="564"/>
        <v>-1.1488891488250821</v>
      </c>
      <c r="AI268" s="27">
        <f t="shared" ca="1" si="564"/>
        <v>-1.3323787699361076</v>
      </c>
      <c r="AJ268" s="27">
        <f t="shared" ca="1" si="564"/>
        <v>-1.4167796371687171</v>
      </c>
      <c r="AK268" s="27">
        <f t="shared" ca="1" si="564"/>
        <v>-1.5050249768279558</v>
      </c>
      <c r="AL268" s="27">
        <f t="shared" ca="1" si="564"/>
        <v>-1.5492776465659199</v>
      </c>
    </row>
    <row r="269" spans="1:38">
      <c r="A269" s="62"/>
      <c r="B269" s="62"/>
      <c r="C269" s="63"/>
      <c r="D269" s="63"/>
      <c r="E269" s="63"/>
      <c r="F269" s="63"/>
      <c r="G269" s="63"/>
      <c r="J269" s="38"/>
      <c r="K269" s="4">
        <f t="shared" ref="K269:K271" si="565">J269*P269</f>
        <v>0</v>
      </c>
      <c r="L269" s="56" t="s">
        <v>60</v>
      </c>
      <c r="M269" s="38">
        <f>IF(D268&gt;0,_xll.BDP(I268,"BID")/100,(_xll.BDP(I268,"BID")/100)+D268)</f>
        <v>-7.9999999999993271E-4</v>
      </c>
      <c r="N269" s="49"/>
      <c r="O269" s="43"/>
      <c r="P269" s="53"/>
      <c r="Q269" s="27">
        <f>Q$165+$A268</f>
        <v>-0.98997999999999997</v>
      </c>
      <c r="R269" s="27">
        <f t="shared" ref="R269" si="566">R$165+$A268</f>
        <v>-0.98930899999999999</v>
      </c>
      <c r="S269" s="27">
        <f t="shared" ref="S269" si="567">S$165+$A268</f>
        <v>-0.98851900000000004</v>
      </c>
      <c r="T269" s="27">
        <f t="shared" ref="T269" si="568">T$165+$A268</f>
        <v>-0.98768199999999995</v>
      </c>
      <c r="U269" s="27">
        <f t="shared" ref="U269" si="569">U$165+$A268</f>
        <v>-0.98677999999999999</v>
      </c>
      <c r="V269" s="27">
        <f t="shared" ref="V269" si="570">V$165+$A268</f>
        <v>-0.98554699999999995</v>
      </c>
      <c r="W269" s="27">
        <f t="shared" ref="W269" si="571">W$165+$A268</f>
        <v>-0.97303499999999998</v>
      </c>
      <c r="X269" s="27">
        <f t="shared" ref="X269" si="572">X$165+$A268</f>
        <v>-0.97004599999999996</v>
      </c>
      <c r="Y269" s="27">
        <f t="shared" ref="Y269" si="573">Y$165+$A268</f>
        <v>-0.97964499999999999</v>
      </c>
      <c r="Z269" s="27">
        <f t="shared" ref="Z269" si="574">Z$165+$A268</f>
        <v>-0.93467600000000006</v>
      </c>
      <c r="AA269" s="27">
        <f t="shared" ref="AA269" si="575">AA$165+$A268</f>
        <v>-0.88761400000000001</v>
      </c>
      <c r="AB269" s="27">
        <f t="shared" ref="AB269" si="576">AB$165+$A268</f>
        <v>-0.79646899999999998</v>
      </c>
      <c r="AC269" s="27">
        <f t="shared" ref="AC269" si="577">AC$165+$A268</f>
        <v>-0.673655</v>
      </c>
      <c r="AD269" s="27">
        <f t="shared" ref="AD269" si="578">AD$165+$A268</f>
        <v>-0.52092099999999997</v>
      </c>
      <c r="AE269" s="27">
        <f t="shared" ref="AE269" si="579">AE$165+$A268</f>
        <v>-0.37355499999999997</v>
      </c>
      <c r="AF269" s="27">
        <f t="shared" ref="AF269" si="580">AF$165+$A268</f>
        <v>-0.24183500000000002</v>
      </c>
      <c r="AG269" s="27">
        <f t="shared" ref="AG269" si="581">AG$165+$A268</f>
        <v>-0.14094099999999998</v>
      </c>
      <c r="AH269" s="27">
        <f t="shared" ref="AH269" si="582">AH$165+$A268</f>
        <v>-9.5698999999999979E-2</v>
      </c>
      <c r="AI269" s="27">
        <f t="shared" ref="AI269" si="583">AI$165+$A268</f>
        <v>-6.0494999999999965E-2</v>
      </c>
      <c r="AJ269" s="27">
        <f t="shared" ref="AJ269" si="584">AJ$165+$A268</f>
        <v>-4.2906E-2</v>
      </c>
      <c r="AK269" s="27">
        <f t="shared" ref="AK269" si="585">AK$165+$A268</f>
        <v>-2.8734999999999955E-2</v>
      </c>
      <c r="AL269" s="27">
        <f t="shared" ref="AL269" si="586">AL$165+$A268</f>
        <v>-2.103900000000003E-2</v>
      </c>
    </row>
    <row r="270" spans="1:38" ht="12.75" thickBot="1">
      <c r="A270" s="62"/>
      <c r="B270" s="62"/>
      <c r="C270" s="63"/>
      <c r="D270" s="63"/>
      <c r="E270" s="63"/>
      <c r="F270" s="63"/>
      <c r="G270" s="63"/>
      <c r="J270" s="38"/>
      <c r="K270" s="4">
        <f t="shared" si="565"/>
        <v>0</v>
      </c>
      <c r="L270" s="56" t="s">
        <v>61</v>
      </c>
      <c r="M270" s="38">
        <f>IF(D268&gt;0,_xll.BDP(I268,"ASK")/100,(_xll.BDP(I268,"ASK")/100)+D268)</f>
        <v>8.0000000000007149E-4</v>
      </c>
      <c r="N270" s="49"/>
      <c r="O270" s="43"/>
      <c r="P270" s="53"/>
      <c r="Q270" s="29" t="str">
        <f>$H268&amp;$H$179&amp;"_"&amp;Q$172&amp;$P$172</f>
        <v>147.5C_147P</v>
      </c>
      <c r="R270" s="29" t="str">
        <f t="shared" ref="R270:AL270" si="587">$H268&amp;$H$179&amp;"_"&amp;R$172&amp;$P$172</f>
        <v>147.5C_147.5P</v>
      </c>
      <c r="S270" s="29" t="str">
        <f t="shared" si="587"/>
        <v>147.5C_148P</v>
      </c>
      <c r="T270" s="29" t="str">
        <f t="shared" si="587"/>
        <v>147.5C_148.5P</v>
      </c>
      <c r="U270" s="29" t="str">
        <f t="shared" si="587"/>
        <v>147.5C_149P</v>
      </c>
      <c r="V270" s="29" t="str">
        <f t="shared" si="587"/>
        <v>147.5C_149.5P</v>
      </c>
      <c r="W270" s="29" t="str">
        <f t="shared" si="587"/>
        <v>147.5C_150P</v>
      </c>
      <c r="X270" s="29" t="str">
        <f t="shared" si="587"/>
        <v>147.5C_150.5P</v>
      </c>
      <c r="Y270" s="29" t="str">
        <f t="shared" si="587"/>
        <v>147.5C_151P</v>
      </c>
      <c r="Z270" s="29" t="str">
        <f t="shared" si="587"/>
        <v>147.5C_151.5P</v>
      </c>
      <c r="AA270" s="29" t="str">
        <f t="shared" si="587"/>
        <v>147.5C_152P</v>
      </c>
      <c r="AB270" s="29" t="str">
        <f t="shared" si="587"/>
        <v>147.5C_152.5P</v>
      </c>
      <c r="AC270" s="29" t="str">
        <f t="shared" si="587"/>
        <v>147.5C_153P</v>
      </c>
      <c r="AD270" s="29" t="str">
        <f t="shared" si="587"/>
        <v>147.5C_153.5P</v>
      </c>
      <c r="AE270" s="29" t="str">
        <f t="shared" si="587"/>
        <v>147.5C_154P</v>
      </c>
      <c r="AF270" s="29" t="str">
        <f t="shared" si="587"/>
        <v>147.5C_154.5P</v>
      </c>
      <c r="AG270" s="29" t="str">
        <f t="shared" si="587"/>
        <v>147.5C_155P</v>
      </c>
      <c r="AH270" s="29" t="str">
        <f t="shared" si="587"/>
        <v>147.5C_155.5P</v>
      </c>
      <c r="AI270" s="29" t="str">
        <f t="shared" si="587"/>
        <v>147.5C_156P</v>
      </c>
      <c r="AJ270" s="29" t="str">
        <f t="shared" si="587"/>
        <v>147.5C_156.5P</v>
      </c>
      <c r="AK270" s="29" t="str">
        <f t="shared" si="587"/>
        <v>147.5C_157P</v>
      </c>
      <c r="AL270" s="29" t="str">
        <f t="shared" si="587"/>
        <v>147.5C_157.5P</v>
      </c>
    </row>
    <row r="271" spans="1:38" ht="12.75" thickTop="1">
      <c r="A271" s="62"/>
      <c r="B271" s="62"/>
      <c r="C271" s="63"/>
      <c r="D271" s="63"/>
      <c r="E271" s="63"/>
      <c r="F271" s="63"/>
      <c r="G271" s="63"/>
      <c r="J271" s="38"/>
      <c r="K271" s="4">
        <f t="shared" si="565"/>
        <v>0</v>
      </c>
      <c r="M271" s="38"/>
      <c r="N271" s="49"/>
      <c r="O271" s="43"/>
      <c r="P271" s="53"/>
      <c r="Q271" s="64"/>
      <c r="R271" s="64"/>
      <c r="S271" s="64"/>
      <c r="T271" s="64"/>
      <c r="U271" s="64"/>
      <c r="V271" s="64"/>
      <c r="W271" s="64"/>
      <c r="X271" s="64"/>
      <c r="Y271" s="64"/>
      <c r="Z271" s="64"/>
      <c r="AA271" s="64"/>
      <c r="AB271" s="64"/>
      <c r="AC271" s="64"/>
      <c r="AD271" s="64"/>
      <c r="AE271" s="64"/>
      <c r="AF271" s="64"/>
      <c r="AG271" s="64"/>
      <c r="AH271" s="64"/>
      <c r="AI271" s="64"/>
      <c r="AJ271" s="64"/>
      <c r="AK271" s="64"/>
      <c r="AL271" s="64"/>
    </row>
    <row r="272" spans="1:38">
      <c r="A272" s="62">
        <f>_xll.BDP($I272, A$179)/-1</f>
        <v>-1</v>
      </c>
      <c r="B272" s="62">
        <f>_xll.BDP($I272, B$179)/100</f>
        <v>0.17241610999999998</v>
      </c>
      <c r="C272" s="63">
        <f ca="1">B272*(MIN(SQRT(1/365),(SQRT(($B$174/365)))))</f>
        <v>9.024671661394576E-3</v>
      </c>
      <c r="D272" s="63">
        <f>(H272-$B$164)/100</f>
        <v>-6.5699999999999925E-2</v>
      </c>
      <c r="E272" s="63">
        <f ca="1">ABS(D272/$E$173)</f>
        <v>9.034319611810643</v>
      </c>
      <c r="F272" s="63">
        <f ca="1">1-_xlfn.NORM.S.DIST(E272,1)</f>
        <v>0</v>
      </c>
      <c r="G272" s="63">
        <f ca="1">IF(D272&gt;0,0,0.25*$B$176)</f>
        <v>2.6559039438231819E-5</v>
      </c>
      <c r="H272" s="4">
        <v>147</v>
      </c>
      <c r="I272" t="str">
        <f>($I$179&amp;" "&amp;H272&amp;" COMB Curncy")</f>
        <v>3BV5C 147 COMB Curncy</v>
      </c>
      <c r="J272" s="38">
        <f ca="1">-1*CGBlackScholes("t","c",B$164,H272,$B$174/365,$B$166,$B$165,B272)/100</f>
        <v>2.8275640523576167E-4</v>
      </c>
      <c r="K272" s="4">
        <f ca="1">J272*P272</f>
        <v>0</v>
      </c>
      <c r="L272" s="56">
        <f ca="1">CGBlackScholes("g","c",B$164,H272,$B$174/365,$B$166,$B$165,B272)</f>
        <v>2.9633681719355532E-2</v>
      </c>
      <c r="M272" s="38">
        <f ca="1">((M273+M274)/2)/$B$174</f>
        <v>6.7573130845578757E-18</v>
      </c>
      <c r="N272" s="49">
        <f ca="1">(MIN($J272,$M272) - $B$172*$B$173/10000*$F272)*10000</f>
        <v>6.7573130845578756E-14</v>
      </c>
      <c r="O272" s="43" t="str">
        <f>ROUND((($M274*10000)+$B$173),0)&amp;" ticks"</f>
        <v>20 ticks</v>
      </c>
      <c r="P272" s="53">
        <f>SUM(Q271:AL271)</f>
        <v>0</v>
      </c>
      <c r="Q272" s="27" t="e">
        <f ca="1">(MIN(($J272+Q$174),($M272+Q$179))- $B$176 - (($B$172*$B$176)*MAX($F272,Q$170))-($G272+Q$171))* 10000</f>
        <v>#VALUE!</v>
      </c>
      <c r="R272" s="27" t="e">
        <f t="shared" ref="R272:AL272" ca="1" si="588">(MIN(($J272+R$174),($M272+R$179))- $B$176 - (($B$172*$B$176)*MAX($F272,R$170))-($G272+R$171))* 10000</f>
        <v>#VALUE!</v>
      </c>
      <c r="S272" s="27" t="e">
        <f t="shared" ca="1" si="588"/>
        <v>#VALUE!</v>
      </c>
      <c r="T272" s="27" t="e">
        <f t="shared" ca="1" si="588"/>
        <v>#VALUE!</v>
      </c>
      <c r="U272" s="27" t="e">
        <f t="shared" ca="1" si="588"/>
        <v>#VALUE!</v>
      </c>
      <c r="V272" s="27" t="e">
        <f t="shared" ca="1" si="588"/>
        <v>#VALUE!</v>
      </c>
      <c r="W272" s="27" t="e">
        <f t="shared" ca="1" si="588"/>
        <v>#VALUE!</v>
      </c>
      <c r="X272" s="27" t="e">
        <f t="shared" ca="1" si="588"/>
        <v>#VALUE!</v>
      </c>
      <c r="Y272" s="27">
        <f t="shared" ca="1" si="588"/>
        <v>-1.15306616755258</v>
      </c>
      <c r="Z272" s="27">
        <f t="shared" ca="1" si="588"/>
        <v>-0.99731628865372912</v>
      </c>
      <c r="AA272" s="27">
        <f t="shared" ca="1" si="588"/>
        <v>-0.87215814809424008</v>
      </c>
      <c r="AB272" s="27">
        <f t="shared" ca="1" si="588"/>
        <v>-0.79428406760971026</v>
      </c>
      <c r="AC272" s="27">
        <f t="shared" ca="1" si="588"/>
        <v>-1.2384895218140088</v>
      </c>
      <c r="AD272" s="27">
        <f t="shared" ca="1" si="588"/>
        <v>-2.1157844497159366</v>
      </c>
      <c r="AE272" s="27">
        <f t="shared" ca="1" si="588"/>
        <v>-1.6607966738664766</v>
      </c>
      <c r="AF272" s="27">
        <f t="shared" ca="1" si="588"/>
        <v>-1.1117084773860224</v>
      </c>
      <c r="AG272" s="27">
        <f t="shared" ca="1" si="588"/>
        <v>-0.92561135096699187</v>
      </c>
      <c r="AH272" s="27">
        <f t="shared" ca="1" si="588"/>
        <v>-1.1488891488250761</v>
      </c>
      <c r="AI272" s="27">
        <f t="shared" ca="1" si="588"/>
        <v>-1.3323787699361014</v>
      </c>
      <c r="AJ272" s="27">
        <f t="shared" ca="1" si="588"/>
        <v>-1.4167796371687109</v>
      </c>
      <c r="AK272" s="27">
        <f t="shared" ca="1" si="588"/>
        <v>-1.5050249768279496</v>
      </c>
      <c r="AL272" s="27">
        <f t="shared" ca="1" si="588"/>
        <v>-1.5492776465659137</v>
      </c>
    </row>
    <row r="273" spans="1:38">
      <c r="A273" s="62"/>
      <c r="B273" s="62"/>
      <c r="C273" s="63"/>
      <c r="D273" s="63"/>
      <c r="E273" s="63"/>
      <c r="F273" s="63"/>
      <c r="G273" s="63"/>
      <c r="J273" s="38"/>
      <c r="K273" s="4">
        <f t="shared" ref="K273:K275" si="589">J273*P273</f>
        <v>0</v>
      </c>
      <c r="L273" s="56" t="s">
        <v>60</v>
      </c>
      <c r="M273" s="38">
        <f>IF(D272&gt;0,_xll.BDP(I272,"BID")/100,(_xll.BDP(I272,"BID")/100)+D272)</f>
        <v>-7.9999999999992577E-4</v>
      </c>
      <c r="N273" s="49"/>
      <c r="O273" s="43"/>
      <c r="P273" s="53"/>
      <c r="Q273" s="27">
        <f>Q$165+$A272</f>
        <v>-0.98997999999999997</v>
      </c>
      <c r="R273" s="27">
        <f t="shared" ref="R273" si="590">R$165+$A272</f>
        <v>-0.98930899999999999</v>
      </c>
      <c r="S273" s="27">
        <f t="shared" ref="S273" si="591">S$165+$A272</f>
        <v>-0.98851900000000004</v>
      </c>
      <c r="T273" s="27">
        <f t="shared" ref="T273" si="592">T$165+$A272</f>
        <v>-0.98768199999999995</v>
      </c>
      <c r="U273" s="27">
        <f t="shared" ref="U273" si="593">U$165+$A272</f>
        <v>-0.98677999999999999</v>
      </c>
      <c r="V273" s="27">
        <f t="shared" ref="V273" si="594">V$165+$A272</f>
        <v>-0.98554699999999995</v>
      </c>
      <c r="W273" s="27">
        <f t="shared" ref="W273" si="595">W$165+$A272</f>
        <v>-0.97303499999999998</v>
      </c>
      <c r="X273" s="27">
        <f t="shared" ref="X273" si="596">X$165+$A272</f>
        <v>-0.97004599999999996</v>
      </c>
      <c r="Y273" s="27">
        <f t="shared" ref="Y273" si="597">Y$165+$A272</f>
        <v>-0.97964499999999999</v>
      </c>
      <c r="Z273" s="27">
        <f t="shared" ref="Z273" si="598">Z$165+$A272</f>
        <v>-0.93467600000000006</v>
      </c>
      <c r="AA273" s="27">
        <f t="shared" ref="AA273" si="599">AA$165+$A272</f>
        <v>-0.88761400000000001</v>
      </c>
      <c r="AB273" s="27">
        <f t="shared" ref="AB273" si="600">AB$165+$A272</f>
        <v>-0.79646899999999998</v>
      </c>
      <c r="AC273" s="27">
        <f t="shared" ref="AC273" si="601">AC$165+$A272</f>
        <v>-0.673655</v>
      </c>
      <c r="AD273" s="27">
        <f t="shared" ref="AD273" si="602">AD$165+$A272</f>
        <v>-0.52092099999999997</v>
      </c>
      <c r="AE273" s="27">
        <f t="shared" ref="AE273" si="603">AE$165+$A272</f>
        <v>-0.37355499999999997</v>
      </c>
      <c r="AF273" s="27">
        <f t="shared" ref="AF273" si="604">AF$165+$A272</f>
        <v>-0.24183500000000002</v>
      </c>
      <c r="AG273" s="27">
        <f t="shared" ref="AG273" si="605">AG$165+$A272</f>
        <v>-0.14094099999999998</v>
      </c>
      <c r="AH273" s="27">
        <f t="shared" ref="AH273" si="606">AH$165+$A272</f>
        <v>-9.5698999999999979E-2</v>
      </c>
      <c r="AI273" s="27">
        <f t="shared" ref="AI273" si="607">AI$165+$A272</f>
        <v>-6.0494999999999965E-2</v>
      </c>
      <c r="AJ273" s="27">
        <f t="shared" ref="AJ273" si="608">AJ$165+$A272</f>
        <v>-4.2906E-2</v>
      </c>
      <c r="AK273" s="27">
        <f t="shared" ref="AK273" si="609">AK$165+$A272</f>
        <v>-2.8734999999999955E-2</v>
      </c>
      <c r="AL273" s="27">
        <f t="shared" ref="AL273" si="610">AL$165+$A272</f>
        <v>-2.103900000000003E-2</v>
      </c>
    </row>
    <row r="274" spans="1:38" ht="12.75" thickBot="1">
      <c r="A274" s="62"/>
      <c r="B274" s="62"/>
      <c r="C274" s="63"/>
      <c r="D274" s="63"/>
      <c r="E274" s="63"/>
      <c r="F274" s="63"/>
      <c r="G274" s="63"/>
      <c r="J274" s="38"/>
      <c r="K274" s="4">
        <f t="shared" si="589"/>
        <v>0</v>
      </c>
      <c r="L274" s="56" t="s">
        <v>61</v>
      </c>
      <c r="M274" s="38">
        <f>IF(D272&gt;0,_xll.BDP(I272,"ASK")/100,(_xll.BDP(I272,"ASK")/100)+D272)</f>
        <v>8.0000000000007843E-4</v>
      </c>
      <c r="N274" s="49"/>
      <c r="O274" s="43"/>
      <c r="P274" s="53"/>
      <c r="Q274" s="29" t="str">
        <f>$H272&amp;$H$179&amp;"_"&amp;Q$172&amp;$P$172</f>
        <v>147C_147P</v>
      </c>
      <c r="R274" s="29" t="str">
        <f t="shared" ref="R274:AL274" si="611">$H272&amp;$H$179&amp;"_"&amp;R$172&amp;$P$172</f>
        <v>147C_147.5P</v>
      </c>
      <c r="S274" s="29" t="str">
        <f t="shared" si="611"/>
        <v>147C_148P</v>
      </c>
      <c r="T274" s="29" t="str">
        <f t="shared" si="611"/>
        <v>147C_148.5P</v>
      </c>
      <c r="U274" s="29" t="str">
        <f t="shared" si="611"/>
        <v>147C_149P</v>
      </c>
      <c r="V274" s="29" t="str">
        <f t="shared" si="611"/>
        <v>147C_149.5P</v>
      </c>
      <c r="W274" s="29" t="str">
        <f t="shared" si="611"/>
        <v>147C_150P</v>
      </c>
      <c r="X274" s="29" t="str">
        <f t="shared" si="611"/>
        <v>147C_150.5P</v>
      </c>
      <c r="Y274" s="29" t="str">
        <f t="shared" si="611"/>
        <v>147C_151P</v>
      </c>
      <c r="Z274" s="29" t="str">
        <f t="shared" si="611"/>
        <v>147C_151.5P</v>
      </c>
      <c r="AA274" s="29" t="str">
        <f t="shared" si="611"/>
        <v>147C_152P</v>
      </c>
      <c r="AB274" s="29" t="str">
        <f t="shared" si="611"/>
        <v>147C_152.5P</v>
      </c>
      <c r="AC274" s="29" t="str">
        <f t="shared" si="611"/>
        <v>147C_153P</v>
      </c>
      <c r="AD274" s="29" t="str">
        <f t="shared" si="611"/>
        <v>147C_153.5P</v>
      </c>
      <c r="AE274" s="29" t="str">
        <f t="shared" si="611"/>
        <v>147C_154P</v>
      </c>
      <c r="AF274" s="29" t="str">
        <f t="shared" si="611"/>
        <v>147C_154.5P</v>
      </c>
      <c r="AG274" s="29" t="str">
        <f t="shared" si="611"/>
        <v>147C_155P</v>
      </c>
      <c r="AH274" s="29" t="str">
        <f t="shared" si="611"/>
        <v>147C_155.5P</v>
      </c>
      <c r="AI274" s="29" t="str">
        <f t="shared" si="611"/>
        <v>147C_156P</v>
      </c>
      <c r="AJ274" s="29" t="str">
        <f t="shared" si="611"/>
        <v>147C_156.5P</v>
      </c>
      <c r="AK274" s="29" t="str">
        <f t="shared" si="611"/>
        <v>147C_157P</v>
      </c>
      <c r="AL274" s="29" t="str">
        <f t="shared" si="611"/>
        <v>147C_157.5P</v>
      </c>
    </row>
    <row r="275" spans="1:38" ht="12.75" thickTop="1">
      <c r="K275" s="4">
        <f t="shared" si="589"/>
        <v>0</v>
      </c>
    </row>
  </sheetData>
  <conditionalFormatting sqref="Q80:W81 Y80:AL81 AC92:AL93 Q82:AL82 Q94:AL94 Q96:AL98 Q100:AL102 Q40:AL42 Q44:AL46 Q48:AL50 Q52:AL54 Q56:AL58 Q60:AL60 Q64:AL64 Q68:AL68 Q72:AL72 X80 Q84:AL84 Q104:AL106 Q108:AL110 Q112:AL114 Q116:AL118 Q120:AL122 Q124:AL124 Q92:AB92 Q76:AB76 Q88:AL88 Q90:AL90 Q93:W93 Y93:AA93 Q78:AL78 Q70:AL70 Q66:AL66 Q74:AB74 Q86:AL86 Q34:AL34 Q62:AL62 Q61:AE61 AG61:AL61 AD74:AL74 AD76:AL76 Q36:AL38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02:AL102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98:AL98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69:V69 Y69:AC69 AE69:AL69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65:V65 AD65:AL65 Z65:AB65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73:V73 AD73 Z73:AB73 AF73:AL73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77:W77 Y77:AL77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85:AB85 AD85:AL85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89:W89 AD89:AL89 Z89:AA89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93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76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73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74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89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Y65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7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77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F6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69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73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65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65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69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C85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8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6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183:AL27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GBP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Espen</dc:creator>
  <cp:lastModifiedBy>AFG</cp:lastModifiedBy>
  <cp:lastPrinted>1999-04-10T01:55:03Z</cp:lastPrinted>
  <dcterms:created xsi:type="dcterms:W3CDTF">1999-04-09T15:40:11Z</dcterms:created>
  <dcterms:modified xsi:type="dcterms:W3CDTF">2015-10-12T11:54:22Z</dcterms:modified>
</cp:coreProperties>
</file>